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cf4d4f00a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7c8cab3ac464392"/>
    <x:sheet xmlns:r="http://schemas.openxmlformats.org/officeDocument/2006/relationships" name="模块分层学习路径" sheetId="2" r:id="Rbf837ce064f340e6"/>
    <x:sheet xmlns:r="http://schemas.openxmlformats.org/officeDocument/2006/relationships" name="70天按需打卡" sheetId="3" r:id="Rff32e56446ca4f2c"/>
    <x:sheet xmlns:r="http://schemas.openxmlformats.org/officeDocument/2006/relationships" name="按需环境" sheetId="4" r:id="Rbfc8ad7e477247d6"/>
    <x:sheet xmlns:r="http://schemas.openxmlformats.org/officeDocument/2006/relationships" name="资源库" sheetId="5" r:id="Rb09f666f69484c33"/>
    <x:sheet xmlns:r="http://schemas.openxmlformats.org/officeDocument/2006/relationships" name="实战验收" sheetId="6" r:id="Rf4d816f235f947e5"/>
    <x:sheet xmlns:r="http://schemas.openxmlformats.org/officeDocument/2006/relationships" name="模块视频Top5" sheetId="7" r:id="R7b3b6377b2144ba4"/>
    <x:sheet xmlns:r="http://schemas.openxmlformats.org/officeDocument/2006/relationships" name="GitHub与文档核验" sheetId="8" r:id="Rb249b2b706714b1d"/>
    <x:sheet xmlns:r="http://schemas.openxmlformats.org/officeDocument/2006/relationships" name="资源对比" sheetId="9" r:id="R4fcbdd9af0e54385"/>
    <x:sheet xmlns:r="http://schemas.openxmlformats.org/officeDocument/2006/relationships" name="70天分层打卡" sheetId="10" r:id="Rd94c393360844da3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<x:sst xmlns:x="http://schemas.openxmlformats.org/spreadsheetml/2006/main">
  <x:si>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</x:si>
  <x:si>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内容</x:t>
  </x:si>
  <x:si>
    <x:t xml:space="preserve">版本</x:t>
  </x:si>
  <x:si>
    <x:t xml:space="preserve">核心思路</x:t>
  </x:si>
  <x:si>
    <x:t xml:space="preserve">环境跟着学习内容走：用到前 1-2 天再搭，避免一开始被 Docker、Dify、OpenClaw 等重环境压住。</x:t>
  </x:si>
  <x:si>
    <x:t xml:space="preserve">模型策略</x:t>
  </x:si>
  <x:si>
    <x:t xml:space="preserve">默认使用 deepseek-v4-flash；代码统一用 DEEPSEEK_API_KEY、MODEL_NAME、BASE_URL 环境变量，方便后续切换。</x:t>
  </x:si>
  <x:si>
    <x:t xml:space="preserve">每日节奏</x:t>
  </x:si>
  <x:si>
    <x:t xml:space="preserve">60-120 分钟：先看资源，再做实践，最后按验收标准打卡。</x:t>
  </x:si>
  <x:si>
    <x:t xml:space="preserve">阶段 1</x:t>
  </x:si>
  <x:si>
    <x:t xml:space="preserve">第1-10天：最小环境、Prompt、结构化输出、LLM/Embedding 基础</x:t>
  </x:si>
  <x:si>
    <x:t xml:space="preserve">阶段 2</x:t>
  </x:si>
  <x:si>
    <x:t xml:space="preserve">第11-17天：Function Calling、MCP、工具编排</x:t>
  </x:si>
  <x:si>
    <x:t xml:space="preserve">阶段 3</x:t>
  </x:si>
  <x:si>
    <x:t xml:space="preserve">第18-28天：LangGraph、Memory、Multi-agent</x:t>
  </x:si>
  <x:si>
    <x:t xml:space="preserve">阶段 4</x:t>
  </x:si>
  <x:si>
    <x:t xml:space="preserve">第29-37天：RAG、Dify、知识库 Agent</x:t>
  </x:si>
  <x:si>
    <x:t xml:space="preserve">阶段 5</x:t>
  </x:si>
  <x:si>
    <x:t xml:space="preserve">第38-43天：Agent 设计、AI Coding、OpenClaw、安全与产品化</x:t>
  </x:si>
  <x:si>
    <x:t xml:space="preserve">阶段 6</x:t>
  </x:si>
  <x:si>
    <x:t xml:space="preserve">第44-50天：毕业项目</x:t>
  </x:si>
  <x:si>
    <x:t xml:space="preserve">练习指导</x:t>
  </x:si>
  <x:si>
    <x:t xml:space="preserve">新版在 50天打卡页新增“练习指导 / 卡住怎么办”，每一天都有最小完成、标准完成、卡点检查、降级方案和复盘问题。</x:t>
  </x:si>
  <x:si>
    <x:t xml:space="preserve">打卡规则</x:t>
  </x:si>
  <x:si>
    <x:t xml:space="preserve">如果当天练习完不成，完成“最小完成 + 记录卡点”也算有效打卡；第二天先看卡点再继续。</x:t>
  </x:si>
  <x:si>
    <x:t xml:space="preserve">求助格式</x:t>
  </x:si>
  <x:si>
    <x:t xml:space="preserve">遇到问题时带上：当天编号、目标输出物、运行命令、完整报错、你已经试过的解决方式。</x:t>
  </x:si>
  <x:si>
    <x:t xml:space="preserve">视频筛选升级</x:t>
  </x:si>
  <x:si>
    <x:t xml:space="preserve">新增“模块视频Top5”页：每个学习模块至少 5 个视频候选，按播放、点赞、投币、收藏计算综合热度分。</x:t>
  </x:si>
  <x:si>
    <x:t xml:space="preserve">综合热度分公式</x:t>
  </x:si>
  <x:si>
    <x:t xml:space="preserve">综合热度分 = 播放量*0.02 + 点赞*1 + 投币*1.8 + 收藏*1.4；偏向收藏和投币，因为它们更接近学习价值。</x:t>
  </x:si>
  <x:si>
    <x:t xml:space="preserve">指标说明</x:t>
  </x:si>
  <x:si>
    <x:t xml:space="preserve">B站直接 API 当前环境会 TLS 失败；本版指标来自网页搜索摘要。后续你可以用人工核验列修正，表会保留排序逻辑参考。</x:t>
  </x:si>
  <x:si>
    <x:t xml:space="preserve">本版新增</x:t>
  </x:si>
  <x:si>
    <x:t xml:space="preserve">模块视频Top5 已补充指标可信度、核验动作、最终选择建议；新增 GitHub与文档核验。</x:t>
  </x:si>
  <x:si>
    <x:t xml:space="preserve">指标原则</x:t>
  </x:si>
  <x:si>
    <x:t xml:space="preserve">能核验就写数值，不能核验就标待核验，不把搜索入口伪装成已验证课程。</x:t>
  </x:si>
  <x:si>
    <x:t xml:space="preserve">视频最低数量</x:t>
  </x:si>
  <x:si>
    <x:t xml:space="preserve">核心模块保持至少 5 个视频候选；资源少的 OpenClaw/Memory 用搜索入口+替代方向，并要求人工复核。</x:t>
  </x:si>
  <x:si>
    <x:t xml:space="preserve">字体</x:t>
  </x:si>
  <x:si>
    <x:t xml:space="preserve">全表重点新增区域使用微软雅黑。</x:t>
  </x:si>
  <x:si>
    <x:t xml:space="preserve">链接</x:t>
  </x:si>
  <x:si>
    <x:t xml:space="preserve">单元格内多资源仍以文本展示；可跳转链接集中在资源跳转、模块视频Top5、GitHub与文档核验。</x:t>
  </x:si>
  <x:si>
    <x:t xml:space="preserve">本版主表资源更新</x:t>
  </x:si>
  <x:si>
    <x:t xml:space="preserve">已把各模块 Top5 视频摘要写回“50天按需打卡”的“高价值资源”列，学习当天不用先跳去对比页。</x:t>
  </x:si>
  <x:si>
    <x:t xml:space="preserve">使用方式</x:t>
  </x:si>
  <x:si>
    <x:t xml:space="preserve">主表看当天前 5 个视频和文档；需要比较播放/点赞/投币/收藏时，再看“模块视频Top5”。</x:t>
  </x:si>
  <x:si>
    <x:t xml:space="preserve">本版列结构修复</x:t>
  </x:si>
  <x:si>
    <x:t xml:space="preserve">50天按需打卡已重建为干净 12 列：删除“备注”，K列状态下拉，L列练习指导。</x:t>
  </x:si>
  <x:si>
    <x:t xml:space="preserve">格式修复</x:t>
  </x:si>
  <x:si>
    <x:t xml:space="preserve">最后两列已统一表头颜色、微软雅黑、换行、边框和列宽。</x:t>
  </x:si>
  <x:si>
    <x:t xml:space="preserve">新增模块分层学习路径</x:t>
  </x:si>
  <x:si>
    <x:t xml:space="preserve">每个学习模块拆成理论基础篇、进阶篇、实战篇，并使用合并单元格展示层级。</x:t>
  </x:si>
  <x:si>
    <x:t xml:space="preserve">建议使用顺序</x:t>
  </x:si>
  <x:si>
    <x:t xml:space="preserve">先看“模块分层学习路径”理解路线，再回到“50天按需打卡”每天执行。</x:t>
  </x:si>
  <x:si>
    <x:t xml:space="preserve">主题</x:t>
  </x:si>
  <x:si>
    <x:t xml:space="preserve">高价值资源</x:t>
  </x:si>
  <x:si>
    <x:t xml:space="preserve">基础环境</x:t>
  </x:si>
  <x:si>
    <x:t xml:space="preserve">视频资源：
无必看视频，优先读文档/跑示例
文档 / GitHub / 工具资源：
1、GitHub Skills：https://skills.github.com/
2、Python：https://www.python.org/downloads/
3、Git：https://git-scm.com/downloads
4、VS Code：https://code.visualstudio.com/
5、uv：https://docs.astral.sh/uv/</x:t>
  </x:si>
  <x:si>
    <x:t xml:space="preserve">DeepSeek / 低成本 API</x:t>
  </x:si>
  <x:si>
    <x:t xml:space="preserve">视频资源：
无必看视频，优先读文档/跑示例
文档 / GitHub / 工具资源：
1、DeepSeek API Docs：https://api-docs.deepseek.com/
2、DeepSeek Pricing：https://api-docs.deepseek.com/quick_start/pricing/
3、DeepSeek List Models：https://api-docs.deepseek.com/zh-cn/api/list-models/
4、DeepSeek base_url：https://api.deepseek.com</x:t>
  </x:si>
  <x:si>
    <x:t xml:space="preserve">Prompt</x:t>
  </x:si>
  <x:si>
    <x:t xml:space="preserve">视频资源：
1、B站 Prompt：https://www.bilibili.com/video/BV1jP411d7or/
2、YouTube Prompt Engineering：https://www.youtube.com/watch?v=_ZvnD73m40o
文档 / GitHub / 工具资源：
1、Anthropic Prompt Engineering：https://docs.anthropic.com/en/docs/build-with-claude/prompt-engineering/overview
2、Prompting Guide：https://www.promptingguide.ai/
3、Structured Outputs Cookbook：https://cookbook.openai.com/examples/structured_outputs_intro</x:t>
  </x:si>
  <x:si>
    <x:t xml:space="preserve">LLM 基础</x:t>
  </x:si>
  <x:si>
    <x:t xml:space="preserve">视频资源：
1、B站 注意力机制（用户推荐）：https://www.bilibili.com/video/BV16f1mB7Ebj
文档 / GitHub / 工具资源：
1、The Illustrated Transformer：https://jalammar.github.io/illustrated-transformer/
2、The Illustrated GPT-2：https://jalammar.github.io/illustrated-gpt2/
3、Hugging Face NLP Course：https://huggingface.co/learn/nlp-course/chapter1/1
4、OpenAI Embeddings：https://platform.openai.com/docs/guides/embeddings</x:t>
  </x:si>
  <x:si>
    <x:t xml:space="preserve">Function Calling</x:t>
  </x:si>
  <x:si>
    <x:t xml:space="preserve">视频资源：
1、B站 Function Calling：https://www.bilibili.com/video/BV1BtrUYVE21/
文档 / GitHub / 工具资源：
1、OpenAI Function Calling：https://platform.openai.com/docs/guides/function-calling
2、OpenAI Tools Docs：https://platform.openai.com/docs/guides/tools
3、OpenAI Cookbook：https://github.com/openai/openai-cookbook
4、JSON Schema：https://json-schema.org/learn/getting-started-step-by-step</x:t>
  </x:si>
  <x:si>
    <x:t xml:space="preserve">MCP</x:t>
  </x:si>
  <x:si>
    <x:t xml:space="preserve">视频资源：
1、B站 MCP 入门：https://www.bilibili.com/video/BV1tPs6zuEMX/
2、B站 MCP 终极指南：https://www.bilibili.com/video/BV1Y854zmEg9/
文档 / GitHub / 工具资源：
1、MCP Docs：https://modelcontextprotocol.io/docs/getting-started/intro
2、MCP Python SDK：https://github.com/modelcontextprotocol/python-sdk
3、MCP Servers：https://github.com/modelcontextprotocol/servers</x:t>
  </x:si>
  <x:si>
    <x:t xml:space="preserve">LangGraph</x:t>
  </x:si>
  <x:si>
    <x:t xml:space="preserve">视频资源：
1、B站 LangGraph：https://www.bilibili.com/video/BV1PaWgz1Eu6/
2、YouTube LangGraph：https://www.youtube.com/watch?v=jGg_1h0qzaM
文档 / GitHub / 工具资源：
1、LangGraph Docs：https://docs.langchain.com/oss/python/langgraph/overview
2、LangGraph Memory：https://docs.langchain.com/oss/python/langgraph/memory
3、Learning LangChain：https://github.com/langchain-ai/learning-langchain</x:t>
  </x:si>
  <x:si>
    <x:t xml:space="preserve">Memory</x:t>
  </x:si>
  <x:si>
    <x:t xml:space="preserve">视频资源：
无必看视频，优先读文档/跑示例
文档 / GitHub / 工具资源：
1、LangGraph Memory：https://docs.langchain.com/oss/python/langgraph/memory
2、LangGraph Persistence：https://docs.langchain.com/oss/python/langgraph/persistence
3、How to Fix Your Context：https://github.com/langchain-ai/how_to_fix_your_context
4、Lilian Weng Agents：https://lilianweng.github.io/posts/2023-06-23-agent/
5、LangMem：https://github.com/langchain-ai/langmem</x:t>
  </x:si>
  <x:si>
    <x:t xml:space="preserve">RAG</x:t>
  </x:si>
  <x:si>
    <x:t xml:space="preserve">视频资源：
1、B站 RAG 训练营：https://www.bilibili.com/video/BV1vkNqeqEin/
2、B站 吴恩达 RAG：https://www.bilibili.com/video/BV1Zg4dzTEdm/
3、YouTube RAG &amp; MCP：https://www.youtube.com/watch?v=I7_WXKhyGms
文档 / GitHub / 工具资源：
1、LangChain Retrieval：https://docs.langchain.com/oss/python/langchain/retrieval
2、LlamaIndex Docs：https://docs.llamaindex.ai/en/stable/</x:t>
  </x:si>
  <x:si>
    <x:t xml:space="preserve">RAG 环境</x:t>
  </x:si>
  <x:si>
    <x:t xml:space="preserve">视频资源：
无必看视频，优先读文档/跑示例
文档 / GitHub / 工具资源：
1、Chroma Docs：https://docs.trychroma.com/
2、Qdrant Quickstart：https://qdrant.tech/documentation/quickstart/
3、FAISS GitHub：https://github.com/facebookresearch/faiss
4、BM25/Rerank 参考：https://www.pinecone.io/learn/series/rag/rerankers/
5、RAGAS：https://github.com/explodinggradients/ragas</x:t>
  </x:si>
  <x:si>
    <x:t xml:space="preserve">Dify</x:t>
  </x:si>
  <x:si>
    <x:t xml:space="preserve">视频资源：
无必看视频，优先读文档/跑示例
文档 / GitHub / 工具资源：
1、Dify：https://dify.ai/
2、Dify GitHub：https://github.com/langgenius/dify
3、Dify Docker Compose：https://docs.dify.ai/getting-started/install-self-hosted/docker-compose
4、Dify Agent：https://docs.dify.ai/en/use-dify/build/agent
5、Dify Knowledge：https://docs.dify.ai/versions/3-0-x/en/user-guide/knowledge-base/readme</x:t>
  </x:si>
  <x:si>
    <x:t xml:space="preserve">Agent 设计</x:t>
  </x:si>
  <x:si>
    <x:t xml:space="preserve">视频资源：
无必看视频，优先读文档/跑示例
文档 / GitHub / 工具资源：
1、Microsoft AI Agents for Beginners：https://github.com/microsoft/ai-agents-for-beginners
2、Hugging Face Agents Course：https://huggingface.co/learn/agents-course
3、OpenAI Tools Docs：https://platform.openai.com/docs/guides/tools
4、OpenAI Cookbook：https://github.com/openai/openai-cookbook
5、Lilian Weng Agents：https://lilianweng.github.io/posts/2023-06-23-agent/</x:t>
  </x:si>
  <x:si>
    <x:t xml:space="preserve">AI Coding</x:t>
  </x:si>
  <x:si>
    <x:t xml:space="preserve">视频资源：
1、B站 Claude Code：https://www.bilibili.com/video/BV14rzQB9EJj/
2、B站 Claude Agent SDK：https://www.bilibili.com/video/BV1UErYBCENX/
文档 / GitHub / 工具资源：
1、Claude Code Docs：https://docs.anthropic.com/en/docs/claude-code/overview
2、OpenAI Codex Docs：https://developers.openai.com/codex/
3、Cursor Docs：https://docs.cursor.com/</x:t>
  </x:si>
  <x:si>
    <x:t xml:space="preserve">OpenClaw</x:t>
  </x:si>
  <x:si>
    <x:t xml:space="preserve">视频资源：
无必看视频，优先读文档/跑示例
文档 / GitHub / 工具资源：
1、OpenClaw：https://openclaw.ai/
2、OpenClaw Docs：https://docs.openclaw.ai/agent
3、OpenClaw Docs Mirror：https://openclawdoc.com/
4、OpenClaw GitHub：https://github.com/openclaw/openclaw</x:t>
  </x:si>
  <x:si>
    <x:t xml:space="preserve">验收项</x:t>
  </x:si>
  <x:si>
    <x:t xml:space="preserve">标准</x:t>
  </x:si>
  <x:si>
    <x:t xml:space="preserve">触发学习日</x:t>
  </x:si>
  <x:si>
    <x:t xml:space="preserve">状态</x:t>
  </x:si>
  <x:si>
    <x:t xml:space="preserve">备注</x:t>
  </x:si>
  <x:si>
    <x:t xml:space="preserve">Python/API/Git 可用，学习仓库结构完整</x:t>
  </x:si>
  <x:si>
    <x:t xml:space="preserve">第1-3天</x:t>
  </x:si>
  <x:si>
    <x:t xml:space="preserve">未开始</x:t>
  </x:si>
  <x:si>
    <x:t xml:space="preserve">Prompt/Schema</x:t>
  </x:si>
  <x:si>
    <x:t xml:space="preserve">有稳定 prompt、schema、小评测</x:t>
  </x:si>
  <x:si>
    <x:t xml:space="preserve">第4-10天</x:t>
  </x:si>
  <x:si>
    <x:t xml:space="preserve">Tool/MCP</x:t>
  </x:si>
  <x:si>
    <x:t xml:space="preserve">至少 2 个工具，1 个 MCP server，有日志和边界</x:t>
  </x:si>
  <x:si>
    <x:t xml:space="preserve">第11-17天</x:t>
  </x:si>
  <x:si>
    <x:t xml:space="preserve">LangGraph/Memory</x:t>
  </x:si>
  <x:si>
    <x:t xml:space="preserve">有显式 state、节点、边、记忆或复核循环</x:t>
  </x:si>
  <x:si>
    <x:t xml:space="preserve">第18-28天</x:t>
  </x:si>
  <x:si>
    <x:t xml:space="preserve">RAG/Dify</x:t>
  </x:si>
  <x:si>
    <x:t xml:space="preserve">有 chunking 实验、eval、Dify 对照</x:t>
  </x:si>
  <x:si>
    <x:t xml:space="preserve">第29-37天</x:t>
  </x:si>
  <x:si>
    <x:t xml:space="preserve">只完成隔离观察与安全边界记录</x:t>
  </x:si>
  <x:si>
    <x:t xml:space="preserve">第41天</x:t>
  </x:si>
  <x:si>
    <x:t xml:space="preserve">毕业项目</x:t>
  </x:si>
  <x:si>
    <x:t xml:space="preserve">有 README、.env.example、eval、演示问题、最终复盘</x:t>
  </x:si>
  <x:si>
    <x:t xml:space="preserve">第44-50天</x:t>
  </x:si>
  <x:si>
    <x:t xml:space="preserve">练习兜底</x:t>
  </x:si>
  <x:si>
    <x:t xml:space="preserve">每个阶段至少保留最小完成输出和卡点记录，不因某天环境或代码失败中断整条路线</x:t>
  </x:si>
  <x:si>
    <x:t xml:space="preserve">全程</x:t>
  </x:si>
  <x:si>
    <x:t xml:space="preserve">看 50天打卡页 L 列</x:t>
  </x:si>
  <x:si>
    <x:t xml:space="preserve">学习模块</x:t>
  </x:si>
  <x:si>
    <x:t xml:space="preserve">排序</x:t>
  </x:si>
  <x:si>
    <x:t xml:space="preserve">视频标题</x:t>
  </x:si>
  <x:si>
    <x:t xml:space="preserve">链接跳转</x:t>
  </x:si>
  <x:si>
    <x:t xml:space="preserve">URL</x:t>
  </x:si>
  <x:si>
    <x:t xml:space="preserve">播放量</x:t>
  </x:si>
  <x:si>
    <x:t xml:space="preserve">弹幕/评论</x:t>
  </x:si>
  <x:si>
    <x:t xml:space="preserve">点赞</x:t>
  </x:si>
  <x:si>
    <x:t xml:space="preserve">投币</x:t>
  </x:si>
  <x:si>
    <x:t xml:space="preserve">收藏</x:t>
  </x:si>
  <x:si>
    <x:t xml:space="preserve">综合热度分</x:t>
  </x:si>
  <x:si>
    <x:t xml:space="preserve">推荐理由</x:t>
  </x:si>
  <x:si>
    <x:t xml:space="preserve">指标来源</x:t>
  </x:si>
  <x:si>
    <x:t xml:space="preserve">指标可信度</x:t>
  </x:si>
  <x:si>
    <x:t xml:space="preserve">下一步核验动作</x:t>
  </x:si>
  <x:si>
    <x:t xml:space="preserve">最终选择建议</x:t>
  </x:si>
  <x:si>
    <x:t xml:space="preserve">Prompt Engineering</x:t>
  </x:si>
  <x:si>
    <x:t xml:space="preserve">翻遍整个B站，这绝对是2026讲的最好的提示词工程教程</x:t>
  </x:si>
  <x:si>
    <x:t xml:space="preserve">https://www.bilibili.com/video/BV1VEA8zYE6f</x:t>
  </x:si>
  <x:si>
    <x:t xml:space="preserve">9.9万</x:t>
  </x:si>
  <x:si>
    <x:t xml:space="preserve">159</x:t>
  </x:si>
  <x:si>
    <x:t xml:space="preserve">2673</x:t>
  </x:si>
  <x:si>
    <x:t xml:space="preserve">1649</x:t>
  </x:si>
  <x:si>
    <x:t xml:space="preserve">6112</x:t>
  </x:si>
  <x:si>
    <x:t xml:space="preserve">播放和收藏都高，覆盖 prompt + LLM + RAG，适合主线学习</x:t>
  </x:si>
  <x:si>
    <x:t xml:space="preserve">B站搜索摘要，抓取/整理于 2026-05-15</x:t>
  </x:si>
  <x:si>
    <x:t xml:space="preserve">搜索摘要-指标较全</x:t>
  </x:si>
  <x:si>
    <x:t xml:space="preserve">打开视频页复查播放/点赞/投币/收藏；如差异大，更新指标与排序</x:t>
  </x:si>
  <x:si>
    <x:t xml:space="preserve">优先看</x:t>
  </x:si>
  <x:si>
    <x:t xml:space="preserve">提示词工程从零开始学Prompt Engineering（2024新手入门版）</x:t>
  </x:si>
  <x:si>
    <x:t xml:space="preserve">https://www.bilibili.com/video/BV1Epz3YNEPL</x:t>
  </x:si>
  <x:si>
    <x:t xml:space="preserve">1.6万</x:t>
  </x:si>
  <x:si>
    <x:t xml:space="preserve">152</x:t>
  </x:si>
  <x:si>
    <x:t xml:space="preserve">221</x:t>
  </x:si>
  <x:si>
    <x:t xml:space="preserve">153</x:t>
  </x:si>
  <x:si>
    <x:t xml:space="preserve">939</x:t>
  </x:si>
  <x:si>
    <x:t xml:space="preserve">收藏/播放比高，适合入门复习</x:t>
  </x:si>
  <x:si>
    <x:t xml:space="preserve">Prompt提示词工程视频教程，从零开始学Prompt Engineering</x:t>
  </x:si>
  <x:si>
    <x:t xml:space="preserve">https://www.bilibili.com/video/BV1kJrUYUEUi</x:t>
  </x:si>
  <x:si>
    <x:t xml:space="preserve">2880</x:t>
  </x:si>
  <x:si>
    <x:t xml:space="preserve">94</x:t>
  </x:si>
  <x:si>
    <x:t xml:space="preserve">58</x:t>
  </x:si>
  <x:si>
    <x:t xml:space="preserve">29</x:t>
  </x:si>
  <x:si>
    <x:t xml:space="preserve">271</x:t>
  </x:si>
  <x:si>
    <x:t xml:space="preserve">互动率较好，章节完整</x:t>
  </x:si>
  <x:si>
    <x:t xml:space="preserve">备选/换讲法</x:t>
  </x:si>
  <x:si>
    <x:t xml:space="preserve">提示词学习指南：B站讲得好的提示词工程教程</x:t>
  </x:si>
  <x:si>
    <x:t xml:space="preserve">https://www.bilibili.com/video/BV1pG2YBjEpT</x:t>
  </x:si>
  <x:si>
    <x:t xml:space="preserve">1251</x:t>
  </x:si>
  <x:si>
    <x:t xml:space="preserve">88</x:t>
  </x:si>
  <x:si>
    <x:t xml:space="preserve">31</x:t>
  </x:si>
  <x:si>
    <x:t xml:space="preserve">9</x:t>
  </x:si>
  <x:si>
    <x:t xml:space="preserve">121</x:t>
  </x:si>
  <x:si>
    <x:t xml:space="preserve">收藏率尚可，作为轻量补充</x:t>
  </x:si>
  <x:si>
    <x:t xml:space="preserve">AI大模型提示词工程教程 2025 最新版</x:t>
  </x:si>
  <x:si>
    <x:t xml:space="preserve">https://www.bilibili.com/video/BV1AiEsz6ETX</x:t>
  </x:si>
  <x:si>
    <x:t xml:space="preserve">1058</x:t>
  </x:si>
  <x:si>
    <x:t xml:space="preserve">83</x:t>
  </x:si>
  <x:si>
    <x:t xml:space="preserve">搜索摘要显示较新且成套，指标不全，待人工补齐</x:t>
  </x:si>
  <x:si>
    <x:t xml:space="preserve">搜索摘要-指标不全</x:t>
  </x:si>
  <x:si>
    <x:t xml:space="preserve">LLM基础 / 注意力机制</x:t>
  </x:si>
  <x:si>
    <x:t xml:space="preserve">注意力机制的本质 | Self-Attention | Transformer | QKV矩阵</x:t>
  </x:si>
  <x:si>
    <x:t xml:space="preserve">https://www.bilibili.com/video/BV1dt4y1J7ov</x:t>
  </x:si>
  <x:si>
    <x:t xml:space="preserve">21.6万</x:t>
  </x:si>
  <x:si>
    <x:t xml:space="preserve">209</x:t>
  </x:si>
  <x:si>
    <x:t xml:space="preserve">1.1万</x:t>
  </x:si>
  <x:si>
    <x:t xml:space="preserve">1.5万</x:t>
  </x:si>
  <x:si>
    <x:t xml:space="preserve">播放、点赞、投币、收藏都极强，注意力机制首选</x:t>
  </x:si>
  <x:si>
    <x:t xml:space="preserve">All in Transformer | 一次讲透注意力机制</x:t>
  </x:si>
  <x:si>
    <x:t xml:space="preserve">https://www.bilibili.com/video/BV16f1mB7Ebj</x:t>
  </x:si>
  <x:si>
    <x:t xml:space="preserve">5.0万</x:t>
  </x:si>
  <x:si>
    <x:t xml:space="preserve">156</x:t>
  </x:si>
  <x:si>
    <x:t xml:space="preserve">1963</x:t>
  </x:si>
  <x:si>
    <x:t xml:space="preserve">1500</x:t>
  </x:si>
  <x:si>
    <x:t xml:space="preserve">3875</x:t>
  </x:si>
  <x:si>
    <x:t xml:space="preserve">你推荐的资源，收藏/投币很高，适合作为主视频</x:t>
  </x:si>
  <x:si>
    <x:t xml:space="preserve">大白话浅谈注意力机制</x:t>
  </x:si>
  <x:si>
    <x:t xml:space="preserve">https://www.bilibili.com/video/BV1Ff4y187nr</x:t>
  </x:si>
  <x:si>
    <x:t xml:space="preserve">9.2万</x:t>
  </x:si>
  <x:si>
    <x:t xml:space="preserve">400</x:t>
  </x:si>
  <x:si>
    <x:t xml:space="preserve">1535</x:t>
  </x:si>
  <x:si>
    <x:t xml:space="preserve">1202</x:t>
  </x:si>
  <x:si>
    <x:t xml:space="preserve">2968</x:t>
  </x:si>
  <x:si>
    <x:t xml:space="preserve">老牌高互动讲解，适合换角度理解</x:t>
  </x:si>
  <x:si>
    <x:t xml:space="preserve">白话 Transformer（一）注意力机制</x:t>
  </x:si>
  <x:si>
    <x:t xml:space="preserve">https://www.bilibili.com/video/BV1bu4m137W1</x:t>
  </x:si>
  <x:si>
    <x:t xml:space="preserve">3.3万</x:t>
  </x:si>
  <x:si>
    <x:t xml:space="preserve">66</x:t>
  </x:si>
  <x:si>
    <x:t xml:space="preserve">759</x:t>
  </x:si>
  <x:si>
    <x:t xml:space="preserve">534</x:t>
  </x:si>
  <x:si>
    <x:t xml:space="preserve">2102</x:t>
  </x:si>
  <x:si>
    <x:t xml:space="preserve">系列化内容，收藏高，适合继续学 QKV/Transformer</x:t>
  </x:si>
  <x:si>
    <x:t xml:space="preserve">通俗易懂理解自注意力机制 Self-Attention</x:t>
  </x:si>
  <x:si>
    <x:t xml:space="preserve">https://www.bilibili.com/video/BV1sw4m1k7Gt</x:t>
  </x:si>
  <x:si>
    <x:t xml:space="preserve">5.9万</x:t>
  </x:si>
  <x:si>
    <x:t xml:space="preserve">56</x:t>
  </x:si>
  <x:si>
    <x:t xml:space="preserve">1032</x:t>
  </x:si>
  <x:si>
    <x:t xml:space="preserve">422</x:t>
  </x:si>
  <x:si>
    <x:t xml:space="preserve">1574</x:t>
  </x:si>
  <x:si>
    <x:t xml:space="preserve">讲解短平快，互动强，适合快速建立直觉</x:t>
  </x:si>
  <x:si>
    <x:t xml:space="preserve">Function Calling / Tool Calling</x:t>
  </x:si>
  <x:si>
    <x:t xml:space="preserve">Tool Calling 2.0 来了：做 Agent 的人一定要看</x:t>
  </x:si>
  <x:si>
    <x:t xml:space="preserve">https://www.bilibili.com/video/BV1SMfKB7E9c</x:t>
  </x:si>
  <x:si>
    <x:t xml:space="preserve">2.4万</x:t>
  </x:si>
  <x:si>
    <x:t xml:space="preserve">11</x:t>
  </x:si>
  <x:si>
    <x:t xml:space="preserve">551</x:t>
  </x:si>
  <x:si>
    <x:t xml:space="preserve">248</x:t>
  </x:si>
  <x:si>
    <x:t xml:space="preserve">1471</x:t>
  </x:si>
  <x:si>
    <x:t xml:space="preserve">较新，适合理解 tool calling 架构演进</x:t>
  </x:si>
  <x:si>
    <x:t xml:space="preserve">大模型 Function calling 技术详解 | 自动调用外部工具 API</x:t>
  </x:si>
  <x:si>
    <x:t xml:space="preserve">https://www.bilibili.com/video/BV1Qv42167ZU</x:t>
  </x:si>
  <x:si>
    <x:t xml:space="preserve">166</x:t>
  </x:si>
  <x:si>
    <x:t xml:space="preserve">80</x:t>
  </x:si>
  <x:si>
    <x:t xml:space="preserve">459</x:t>
  </x:si>
  <x:si>
    <x:t xml:space="preserve">播放和收藏较稳，偏完整流程</x:t>
  </x:si>
  <x:si>
    <x:t xml:space="preserve">大模型 Function Calling 到底怎么实现？底层原理是什么？</x:t>
  </x:si>
  <x:si>
    <x:t xml:space="preserve">https://www.bilibili.com/video/BV1oYcDzdE5f</x:t>
  </x:si>
  <x:si>
    <x:t xml:space="preserve">8426</x:t>
  </x:si>
  <x:si>
    <x:t xml:space="preserve">2</x:t>
  </x:si>
  <x:si>
    <x:t xml:space="preserve">149</x:t>
  </x:si>
  <x:si>
    <x:t xml:space="preserve">44</x:t>
  </x:si>
  <x:si>
    <x:t xml:space="preserve">450</x:t>
  </x:si>
  <x:si>
    <x:t xml:space="preserve">较新，解释底层原理，适合概念补强</x:t>
  </x:si>
  <x:si>
    <x:t xml:space="preserve">从零到一掌握 Function Calling（理论+代码）</x:t>
  </x:si>
  <x:si>
    <x:t xml:space="preserve">https://www.bilibili.com/video/BV1mp2dYtEAs</x:t>
  </x:si>
  <x:si>
    <x:t xml:space="preserve">6875</x:t>
  </x:si>
  <x:si>
    <x:t xml:space="preserve">108</x:t>
  </x:si>
  <x:si>
    <x:t xml:space="preserve">63</x:t>
  </x:si>
  <x:si>
    <x:t xml:space="preserve">202</x:t>
  </x:si>
  <x:si>
    <x:t xml:space="preserve">理论+代码，适合第11-13天练习</x:t>
  </x:si>
  <x:si>
    <x:t xml:space="preserve">Function calling 技术详解 13 集保姆级讲解</x:t>
  </x:si>
  <x:si>
    <x:t xml:space="preserve">https://www.bilibili.com/video/BV1SJm8YtETd</x:t>
  </x:si>
  <x:si>
    <x:t xml:space="preserve">4636</x:t>
  </x:si>
  <x:si>
    <x:t xml:space="preserve">619</x:t>
  </x:si>
  <x:si>
    <x:t xml:space="preserve">35</x:t>
  </x:si>
  <x:si>
    <x:t xml:space="preserve">33</x:t>
  </x:si>
  <x:si>
    <x:t xml:space="preserve">137</x:t>
  </x:si>
  <x:si>
    <x:t xml:space="preserve">弹幕/讨论高，适合跟着做多函数案例</x:t>
  </x:si>
  <x:si>
    <x:t xml:space="preserve">MCP Server开发零基础教程：基于 Java 代码开发 MCP 服务端</x:t>
  </x:si>
  <x:si>
    <x:t xml:space="preserve">https://www.bilibili.com/video/BV1aDVhzdE6S</x:t>
  </x:si>
  <x:si>
    <x:t xml:space="preserve">16.3万</x:t>
  </x:si>
  <x:si>
    <x:t xml:space="preserve">588</x:t>
  </x:si>
  <x:si>
    <x:t xml:space="preserve">8184</x:t>
  </x:si>
  <x:si>
    <x:t xml:space="preserve">4149</x:t>
  </x:si>
  <x:si>
    <x:t xml:space="preserve">指标极强，适合系统理解 MCP server，虽然偏 Java</x:t>
  </x:si>
  <x:si>
    <x:t xml:space="preserve">Cursor + MCP = 王炸！彻底颠覆 Cursor 工作流</x:t>
  </x:si>
  <x:si>
    <x:t xml:space="preserve">https://www.bilibili.com/video/BV1eYPpeWEnT</x:t>
  </x:si>
  <x:si>
    <x:t xml:space="preserve">14.6万</x:t>
  </x:si>
  <x:si>
    <x:t xml:space="preserve">64</x:t>
  </x:si>
  <x:si>
    <x:t xml:space="preserve">2407</x:t>
  </x:si>
  <x:si>
    <x:t xml:space="preserve">1081</x:t>
  </x:si>
  <x:si>
    <x:t xml:space="preserve">5676</x:t>
  </x:si>
  <x:si>
    <x:t xml:space="preserve">播放和收藏很高，适合理解 MCP 在 AI coding 中的价值</x:t>
  </x:si>
  <x:si>
    <x:t xml:space="preserve">Cursor 和 MCP 简直绝配！保姆级教程</x:t>
  </x:si>
  <x:si>
    <x:t xml:space="preserve">https://www.bilibili.com/video/BV1vHVuzTEiV</x:t>
  </x:si>
  <x:si>
    <x:t xml:space="preserve">7.5万</x:t>
  </x:si>
  <x:si>
    <x:t xml:space="preserve">257</x:t>
  </x:si>
  <x:si>
    <x:t xml:space="preserve">946</x:t>
  </x:si>
  <x:si>
    <x:t xml:space="preserve">756</x:t>
  </x:si>
  <x:si>
    <x:t xml:space="preserve">1361</x:t>
  </x:si>
  <x:si>
    <x:t xml:space="preserve">实践向，适合配置体验</x:t>
  </x:si>
  <x:si>
    <x:t xml:space="preserve">看 MCP Server 代码，了解大模型跟 MCP 如何协同</x:t>
  </x:si>
  <x:si>
    <x:t xml:space="preserve">https://www.bilibili.com/video/BV11MEHzwEp6</x:t>
  </x:si>
  <x:si>
    <x:t xml:space="preserve">1.2万</x:t>
  </x:si>
  <x:si>
    <x:t xml:space="preserve">399</x:t>
  </x:si>
  <x:si>
    <x:t xml:space="preserve">269</x:t>
  </x:si>
  <x:si>
    <x:t xml:space="preserve">480</x:t>
  </x:si>
  <x:si>
    <x:t xml:space="preserve">代码视角，适合 MCP 实操日前后看</x:t>
  </x:si>
  <x:si>
    <x:t xml:space="preserve">26分钟掌握模型上下文协议 MCP 的秘密与实战指南</x:t>
  </x:si>
  <x:si>
    <x:t xml:space="preserve">https://www.bilibili.com/video/BV1tPs6zuEMX</x:t>
  </x:si>
  <x:si>
    <x:t xml:space="preserve">413</x:t>
  </x:si>
  <x:si>
    <x:t xml:space="preserve">0</x:t>
  </x:si>
  <x:si>
    <x:t xml:space="preserve">7</x:t>
  </x:si>
  <x:si>
    <x:t xml:space="preserve">19</x:t>
  </x:si>
  <x:si>
    <x:t xml:space="preserve">短视频入门，指标弱但内容聚焦</x:t>
  </x:si>
  <x:si>
    <x:t xml:space="preserve">LangGraph 新手入门</x:t>
  </x:si>
  <x:si>
    <x:t xml:space="preserve">https://www.bilibili.com/video/BV1iD4y1f7Ga</x:t>
  </x:si>
  <x:si>
    <x:t xml:space="preserve">4.5万</x:t>
  </x:si>
  <x:si>
    <x:t xml:space="preserve">1</x:t>
  </x:si>
  <x:si>
    <x:t xml:space="preserve">569</x:t>
  </x:si>
  <x:si>
    <x:t xml:space="preserve">228</x:t>
  </x:si>
  <x:si>
    <x:t xml:space="preserve">1256</x:t>
  </x:si>
  <x:si>
    <x:t xml:space="preserve">高播放高收藏，适合 LangGraph 入门</x:t>
  </x:si>
  <x:si>
    <x:t xml:space="preserve">2026 吃透 LangGraph 全套实战教程</x:t>
  </x:si>
  <x:si>
    <x:t xml:space="preserve">https://www.bilibili.com/video/BV1ancBzjEWi</x:t>
  </x:si>
  <x:si>
    <x:t xml:space="preserve">2.9万</x:t>
  </x:si>
  <x:si>
    <x:t xml:space="preserve">141</x:t>
  </x:si>
  <x:si>
    <x:t xml:space="preserve">424</x:t>
  </x:si>
  <x:si>
    <x:t xml:space="preserve">324</x:t>
  </x:si>
  <x:si>
    <x:t xml:space="preserve">1459</x:t>
  </x:si>
  <x:si>
    <x:t xml:space="preserve">较新，收藏高，适合系统实战</x:t>
  </x:si>
  <x:si>
    <x:t xml:space="preserve">3小时完整教程：LangGraph 从入门到实战</x:t>
  </x:si>
  <x:si>
    <x:t xml:space="preserve">https://www.bilibili.com/video/BV1PaWgz1Eu6</x:t>
  </x:si>
  <x:si>
    <x:t xml:space="preserve">6063</x:t>
  </x:si>
  <x:si>
    <x:t xml:space="preserve">4</x:t>
  </x:si>
  <x:si>
    <x:t xml:space="preserve">131</x:t>
  </x:si>
  <x:si>
    <x:t xml:space="preserve">98</x:t>
  </x:si>
  <x:si>
    <x:t xml:space="preserve">492</x:t>
  </x:si>
  <x:si>
    <x:t xml:space="preserve">免费完整课，适合作为主线长课</x:t>
  </x:si>
  <x:si>
    <x:t xml:space="preserve">LangGraph 多 agent 框架快速入门</x:t>
  </x:si>
  <x:si>
    <x:t xml:space="preserve">https://www.bilibili.com/video/BV1KK4y1q7Pk</x:t>
  </x:si>
  <x:si>
    <x:t xml:space="preserve">8567</x:t>
  </x:si>
  <x:si>
    <x:t xml:space="preserve">133</x:t>
  </x:si>
  <x:si>
    <x:t xml:space="preserve">49</x:t>
  </x:si>
  <x:si>
    <x:t xml:space="preserve">486</x:t>
  </x:si>
  <x:si>
    <x:t xml:space="preserve">短平快，适合第18天之前预热</x:t>
  </x:si>
  <x:si>
    <x:t xml:space="preserve">LangGraph 官方系列教程 10集全</x:t>
  </x:si>
  <x:si>
    <x:t xml:space="preserve">https://www.bilibili.com/video/BV1cfQHYeEaA</x:t>
  </x:si>
  <x:si>
    <x:t xml:space="preserve">4962</x:t>
  </x:si>
  <x:si>
    <x:t xml:space="preserve">30</x:t>
  </x:si>
  <x:si>
    <x:t xml:space="preserve">352</x:t>
  </x:si>
  <x:si>
    <x:t xml:space="preserve">官方系列搬运，适合查缺补漏</x:t>
  </x:si>
  <x:si>
    <x:t xml:space="preserve">RAG快速入门教程：理论+优化+评估+项目实战一条龙</x:t>
  </x:si>
  <x:si>
    <x:t xml:space="preserve">https://www.bilibili.com/video/BV1ug3qzhEp9</x:t>
  </x:si>
  <x:si>
    <x:t xml:space="preserve">113.8万</x:t>
  </x:si>
  <x:si>
    <x:t xml:space="preserve">833</x:t>
  </x:si>
  <x:si>
    <x:t xml:space="preserve">2.7万</x:t>
  </x:si>
  <x:si>
    <x:t xml:space="preserve">1430</x:t>
  </x:si>
  <x:si>
    <x:t xml:space="preserve">128.7万</x:t>
  </x:si>
  <x:si>
    <x:t xml:space="preserve">播放和收藏极高，RAG 主视频候选第一</x:t>
  </x:si>
  <x:si>
    <x:t xml:space="preserve">大模型 RAG 技术教程：入门到企业级实战</x:t>
  </x:si>
  <x:si>
    <x:t xml:space="preserve">https://www.bilibili.com/video/BV1Fsd8YeExh</x:t>
  </x:si>
  <x:si>
    <x:t xml:space="preserve">9.3万</x:t>
  </x:si>
  <x:si>
    <x:t xml:space="preserve">566</x:t>
  </x:si>
  <x:si>
    <x:t xml:space="preserve">1003</x:t>
  </x:si>
  <x:si>
    <x:t xml:space="preserve">1234</x:t>
  </x:si>
  <x:si>
    <x:t xml:space="preserve">7548</x:t>
  </x:si>
  <x:si>
    <x:t xml:space="preserve">收藏很高，适合企业级项目视角</x:t>
  </x:si>
  <x:si>
    <x:t xml:space="preserve">最适合新手的大模型 RAG 入门课程</x:t>
  </x:si>
  <x:si>
    <x:t xml:space="preserve">https://www.bilibili.com/video/BV1hj5DzyE5d</x:t>
  </x:si>
  <x:si>
    <x:t xml:space="preserve">5.3万</x:t>
  </x:si>
  <x:si>
    <x:t xml:space="preserve">134</x:t>
  </x:si>
  <x:si>
    <x:t xml:space="preserve">2369</x:t>
  </x:si>
  <x:si>
    <x:t xml:space="preserve">2298</x:t>
  </x:si>
  <x:si>
    <x:t xml:space="preserve">5752</x:t>
  </x:si>
  <x:si>
    <x:t xml:space="preserve">互动质量很高，讲工程问题和评估，强推荐</x:t>
  </x:si>
  <x:si>
    <x:t xml:space="preserve">大模型 RAG 完整教程：完整 RAG 项目</x:t>
  </x:si>
  <x:si>
    <x:t xml:space="preserve">https://www.bilibili.com/video/BV16fDfYNEzg</x:t>
  </x:si>
  <x:si>
    <x:t xml:space="preserve">5.7万</x:t>
  </x:si>
  <x:si>
    <x:t xml:space="preserve">812</x:t>
  </x:si>
  <x:si>
    <x:t xml:space="preserve">930</x:t>
  </x:si>
  <x:si>
    <x:t xml:space="preserve">609</x:t>
  </x:si>
  <x:si>
    <x:t xml:space="preserve">2242</x:t>
  </x:si>
  <x:si>
    <x:t xml:space="preserve">偏项目实战，适合第29-34天</x:t>
  </x:si>
  <x:si>
    <x:t xml:space="preserve">RAG训练营 - AI Engineering Bootcamp</x:t>
  </x:si>
  <x:si>
    <x:t xml:space="preserve">https://www.bilibili.com/video/BV1vkNqeqEin</x:t>
  </x:si>
  <x:si>
    <x:t xml:space="preserve">6029</x:t>
  </x:si>
  <x:si>
    <x:t xml:space="preserve">65</x:t>
  </x:si>
  <x:si>
    <x:t xml:space="preserve">780</x:t>
  </x:si>
  <x:si>
    <x:t xml:space="preserve">海外课程翻译/搬运，体系完整</x:t>
  </x:si>
  <x:si>
    <x:t xml:space="preserve">Dify 搭建简单的知识库问答工作流</x:t>
  </x:si>
  <x:si>
    <x:t xml:space="preserve">https://www.bilibili.com/video/BV1M29PYiEHx</x:t>
  </x:si>
  <x:si>
    <x:t xml:space="preserve">14.3万</x:t>
  </x:si>
  <x:si>
    <x:t xml:space="preserve">89</x:t>
  </x:si>
  <x:si>
    <x:t xml:space="preserve">1968</x:t>
  </x:si>
  <x:si>
    <x:t xml:space="preserve">1039</x:t>
  </x:si>
  <x:si>
    <x:t xml:space="preserve">5488</x:t>
  </x:si>
  <x:si>
    <x:t xml:space="preserve">播放收藏都高，Dify 知识库主视频候选</x:t>
  </x:si>
  <x:si>
    <x:t xml:space="preserve">Windows 系统下轻松部署 Dify 教程</x:t>
  </x:si>
  <x:si>
    <x:t xml:space="preserve">https://www.bilibili.com/video/BV1BKP2eFEbm</x:t>
  </x:si>
  <x:si>
    <x:t xml:space="preserve">2.2万</x:t>
  </x:si>
  <x:si>
    <x:t xml:space="preserve">17</x:t>
  </x:si>
  <x:si>
    <x:t xml:space="preserve">347</x:t>
  </x:si>
  <x:si>
    <x:t xml:space="preserve">776</x:t>
  </x:si>
  <x:si>
    <x:t xml:space="preserve">部署向，适合 Windows 环境</x:t>
  </x:si>
  <x:si>
    <x:t xml:space="preserve">Dify 工作流架构全解析</x:t>
  </x:si>
  <x:si>
    <x:t xml:space="preserve">https://www.bilibili.com/video/BV1nc9xY2Ev8</x:t>
  </x:si>
  <x:si>
    <x:t xml:space="preserve">1.8万</x:t>
  </x:si>
  <x:si>
    <x:t xml:space="preserve">350</x:t>
  </x:si>
  <x:si>
    <x:t xml:space="preserve">231</x:t>
  </x:si>
  <x:si>
    <x:t xml:space="preserve">800</x:t>
  </x:si>
  <x:si>
    <x:t xml:space="preserve">工作流原理清楚，适合 Dify 进阶</x:t>
  </x:si>
  <x:si>
    <x:t xml:space="preserve">使用 Dify 工作流 10 分钟打造 AI 客服系统</x:t>
  </x:si>
  <x:si>
    <x:t xml:space="preserve">https://www.bilibili.com/video/BV1CSKHe6EZa</x:t>
  </x:si>
  <x:si>
    <x:t xml:space="preserve">8580</x:t>
  </x:si>
  <x:si>
    <x:t xml:space="preserve">171</x:t>
  </x:si>
  <x:si>
    <x:t xml:space="preserve">69</x:t>
  </x:si>
  <x:si>
    <x:t xml:space="preserve">323</x:t>
  </x:si>
  <x:si>
    <x:t xml:space="preserve">短实战，适合快速上手</x:t>
  </x:si>
  <x:si>
    <x:t xml:space="preserve">Dify搭建RAG知识库，检索召回成功率达到90%</x:t>
  </x:si>
  <x:si>
    <x:t xml:space="preserve">https://www.bilibili.com/video/BV1xmhezTEDb</x:t>
  </x:si>
  <x:si>
    <x:t xml:space="preserve">4775</x:t>
  </x:si>
  <x:si>
    <x:t xml:space="preserve">3</x:t>
  </x:si>
  <x:si>
    <x:t xml:space="preserve">101</x:t>
  </x:si>
  <x:si>
    <x:t xml:space="preserve">304</x:t>
  </x:si>
  <x:si>
    <x:t xml:space="preserve">Dify+RAG 场景明确</x:t>
  </x:si>
  <x:si>
    <x:t xml:space="preserve">AI Coding / Agent OS</x:t>
  </x:si>
  <x:si>
    <x:t xml:space="preserve">Claude Code 从 0 到 1 全攻略</x:t>
  </x:si>
  <x:si>
    <x:t xml:space="preserve">https://www.bilibili.com/video/BV14rzQB9EJj</x:t>
  </x:si>
  <x:si>
    <x:t xml:space="preserve">19.9万</x:t>
  </x:si>
  <x:si>
    <x:t xml:space="preserve">239</x:t>
  </x:si>
  <x:si>
    <x:t xml:space="preserve">8495</x:t>
  </x:si>
  <x:si>
    <x:t xml:space="preserve">6934</x:t>
  </x:si>
  <x:si>
    <x:t xml:space="preserve">2.1万</x:t>
  </x:si>
  <x:si>
    <x:t xml:space="preserve">指标极强，AI Coding 主视频候选第一</x:t>
  </x:si>
  <x:si>
    <x:t xml:space="preserve">Claude Code 入门：组建 AI Agent 员工团队</x:t>
  </x:si>
  <x:si>
    <x:t xml:space="preserve">https://www.bilibili.com/video/BV14e8JzdEgH</x:t>
  </x:si>
  <x:si>
    <x:t xml:space="preserve">5.2万</x:t>
  </x:si>
  <x:si>
    <x:t xml:space="preserve">18</x:t>
  </x:si>
  <x:si>
    <x:t xml:space="preserve">1613</x:t>
  </x:si>
  <x:si>
    <x:t xml:space="preserve">887</x:t>
  </x:si>
  <x:si>
    <x:t xml:space="preserve">4328</x:t>
  </x:si>
  <x:si>
    <x:t xml:space="preserve">Agent 团队实战，适合毕业项目前</x:t>
  </x:si>
  <x:si>
    <x:t xml:space="preserve">多线程 AI 实习生在线爆肝：Claude Code 上岗</x:t>
  </x:si>
  <x:si>
    <x:t xml:space="preserve">https://www.bilibili.com/video/BV1rpTdz8Ece</x:t>
  </x:si>
  <x:si>
    <x:t xml:space="preserve">2.8万</x:t>
  </x:si>
  <x:si>
    <x:t xml:space="preserve">32</x:t>
  </x:si>
  <x:si>
    <x:t xml:space="preserve">554</x:t>
  </x:si>
  <x:si>
    <x:t xml:space="preserve">358</x:t>
  </x:si>
  <x:si>
    <x:t xml:space="preserve">1398</x:t>
  </x:si>
  <x:si>
    <x:t xml:space="preserve">理念和玩法强，适合理解多任务 agent</x:t>
  </x:si>
  <x:si>
    <x:t xml:space="preserve">Cursor+Claude AI编程 1天快速上手</x:t>
  </x:si>
  <x:si>
    <x:t xml:space="preserve">https://www.bilibili.com/video/BV1KocTzHE3Z</x:t>
  </x:si>
  <x:si>
    <x:t xml:space="preserve">4.0万</x:t>
  </x:si>
  <x:si>
    <x:t xml:space="preserve">146</x:t>
  </x:si>
  <x:si>
    <x:t xml:space="preserve">1520</x:t>
  </x:si>
  <x:si>
    <x:t xml:space="preserve">Cursor 入门实战，补充 AI coding 工具链</x:t>
  </x:si>
  <x:si>
    <x:t xml:space="preserve">Anthropic官方演示：30分钟精通 Claude Code</x:t>
  </x:si>
  <x:si>
    <x:t xml:space="preserve">https://www.bilibili.com/video/BV1vSjJzBEsY</x:t>
  </x:si>
  <x:si>
    <x:t xml:space="preserve">1.3万</x:t>
  </x:si>
  <x:si>
    <x:t xml:space="preserve">240</x:t>
  </x:si>
  <x:si>
    <x:t xml:space="preserve">114</x:t>
  </x:si>
  <x:si>
    <x:t xml:space="preserve">713</x:t>
  </x:si>
  <x:si>
    <x:t xml:space="preserve">官方演示搬运，适合查缺补漏</x:t>
  </x:si>
  <x:si>
    <x:t xml:space="preserve">Agent 设计 / 多智能体</x:t>
  </x:si>
  <x:si>
    <x:t xml:space="preserve">AI Agent 从 0 到 1 项目实战</x:t>
  </x:si>
  <x:si>
    <x:t xml:space="preserve">B站已有指标，偏 AI coding + 多任务 agent 思路</x:t>
  </x:si>
  <x:si>
    <x:t xml:space="preserve">搜索摘要/公开视频页线索，待人工复核</x:t>
  </x:si>
  <x:si>
    <x:t xml:space="preserve">LangChain Agent 从入门到实战</x:t>
  </x:si>
  <x:si>
    <x:t xml:space="preserve">https://www.youtube.com/results?search_query=LangChain+Agents+tutorial</x:t>
  </x:si>
  <x:si>
    <x:t xml:space="preserve">待核验</x:t>
  </x:si>
  <x:si>
    <x:t xml:space="preserve">YouTube 高相关候选，适合补 Agent 基础；需人工按播放/点赞二次筛选</x:t>
  </x:si>
  <x:si>
    <x:t xml:space="preserve">待人工核验</x:t>
  </x:si>
  <x:si>
    <x:t xml:space="preserve">打开搜索结果/视频页，手动记录播放、点赞、投币、收藏后再参与排序</x:t>
  </x:si>
  <x:si>
    <x:t xml:space="preserve">AI Agent 系统设计：Planning、Tools、Memory、Reflection</x:t>
  </x:si>
  <x:si>
    <x:t xml:space="preserve">https://www.youtube.com/results?search_query=AI+Agent+system+design+planning+tools+memory</x:t>
  </x:si>
  <x:si>
    <x:t xml:space="preserve">覆盖 Agent 关键组件，作为设计课候选</x:t>
  </x:si>
  <x:si>
    <x:t xml:space="preserve">CrewAI Multi-Agent Tutorial</x:t>
  </x:si>
  <x:si>
    <x:t xml:space="preserve">https://www.youtube.com/results?search_query=CrewAI+multi+agent+tutorial</x:t>
  </x:si>
  <x:si>
    <x:t xml:space="preserve">多智能体协作框架，适合和 LangGraph 对比</x:t>
  </x:si>
  <x:si>
    <x:t xml:space="preserve">AutoGen Multi-Agent Conversation Tutorial</x:t>
  </x:si>
  <x:si>
    <x:t xml:space="preserve">https://www.youtube.com/results?search_query=AutoGen+multi+agent+tutorial</x:t>
  </x:si>
  <x:si>
    <x:t xml:space="preserve">经典多 Agent 框架，适合理解角色协作</x:t>
  </x:si>
  <x:si>
    <x:t xml:space="preserve">Memory / 长期记忆</x:t>
  </x:si>
  <x:si>
    <x:t xml:space="preserve">Mem0 AI Memory for Agents Tutorial</x:t>
  </x:si>
  <x:si>
    <x:t xml:space="preserve">https://www.youtube.com/results?search_query=Mem0+AI+memory+agents+tutorial</x:t>
  </x:si>
  <x:si>
    <x:t xml:space="preserve">专门讲 Agent memory，适合长期记忆模块</x:t>
  </x:si>
  <x:si>
    <x:t xml:space="preserve">Letta / MemGPT Agent Memory Tutorial</x:t>
  </x:si>
  <x:si>
    <x:t xml:space="preserve">https://www.youtube.com/results?search_query=Letta+MemGPT+agent+memory+tutorial</x:t>
  </x:si>
  <x:si>
    <x:t xml:space="preserve">Memory-first agent 方向，适合理解状态与持久化</x:t>
  </x:si>
  <x:si>
    <x:t xml:space="preserve">LangGraph Memory Tutorial</x:t>
  </x:si>
  <x:si>
    <x:t xml:space="preserve">https://www.youtube.com/results?search_query=LangGraph+memory+tutorial</x:t>
  </x:si>
  <x:si>
    <x:t xml:space="preserve">和主线 LangGraph 可以衔接，适合工程落地</x:t>
  </x:si>
  <x:si>
    <x:t xml:space="preserve">LangChain Conversational Memory Tutorial</x:t>
  </x:si>
  <x:si>
    <x:t xml:space="preserve">https://www.youtube.com/results?search_query=LangChain+conversational+memory+tutorial</x:t>
  </x:si>
  <x:si>
    <x:t xml:space="preserve">基础 memory 概念补充，适合先理解短期/长期记忆差异</x:t>
  </x:si>
  <x:si>
    <x:t xml:space="preserve">大模型 Agent 记忆机制 / 长期记忆 教程</x:t>
  </x:si>
  <x:si>
    <x:t xml:space="preserve">https://www.bilibili.com/search?keyword=AI%20Agent%20%E8%AE%B0%E5%BF%86%20%E9%95%BF%E6%9C%9F%E8%AE%B0%E5%BF%86%20%E6%95%99%E7%A8%8B</x:t>
  </x:si>
  <x:si>
    <x:t xml:space="preserve">B站主题搜索入口，建议按收藏/投币排序手动核验</x:t>
  </x:si>
  <x:si>
    <x:t xml:space="preserve">OpenClaw / 浏览器 Agent</x:t>
  </x:si>
  <x:si>
    <x:t xml:space="preserve">OpenClaw 教程 / Browser Agent 实战</x:t>
  </x:si>
  <x:si>
    <x:t xml:space="preserve">https://www.bilibili.com/search?keyword=OpenClaw%20AI%20Agent%20%E6%95%99%E7%A8%8B</x:t>
  </x:si>
  <x:si>
    <x:t xml:space="preserve">OpenClaw 视频资源较少，先给 B站主题入口并标待核验</x:t>
  </x:si>
  <x:si>
    <x:t xml:space="preserve">OpenClaw AI Agent Tutorial</x:t>
  </x:si>
  <x:si>
    <x:t xml:space="preserve">https://www.youtube.com/results?search_query=OpenClaw+AI+Agent+tutorial</x:t>
  </x:si>
  <x:si>
    <x:t xml:space="preserve">YouTube 主题入口，按播放/点赞选择</x:t>
  </x:si>
  <x:si>
    <x:t xml:space="preserve">Browser-use AI Agent Tutorial</x:t>
  </x:si>
  <x:si>
    <x:t xml:space="preserve">https://www.youtube.com/results?search_query=browser-use+AI+agent+tutorial</x:t>
  </x:si>
  <x:si>
    <x:t xml:space="preserve">OpenClaw 替代/补充方向，适合浏览器自动化理解</x:t>
  </x:si>
  <x:si>
    <x:t xml:space="preserve">Claude Computer Use / Browser Agent Tutorial</x:t>
  </x:si>
  <x:si>
    <x:t xml:space="preserve">https://www.youtube.com/results?search_query=Claude+computer+use+browser+agent+tutorial</x:t>
  </x:si>
  <x:si>
    <x:t xml:space="preserve">浏览器 agent 原理相近，作为补充资源</x:t>
  </x:si>
  <x:si>
    <x:t xml:space="preserve">大模型浏览器自动化 Agent 实战</x:t>
  </x:si>
  <x:si>
    <x:t xml:space="preserve">https://www.bilibili.com/search?keyword=%E5%A4%A7%E6%A8%A1%E5%9E%8B%20%E6%B5%8F%E8%A7%88%E5%99%A8%20Agent%20%E8%87%AA%E5%8A%A8%E5%8C%96</x:t>
  </x:si>
  <x:si>
    <x:t xml:space="preserve">中文浏览器 Agent 主题入口，需手动核验热度</x:t>
  </x:si>
  <x:si>
    <x:t xml:space="preserve">资源</x:t>
  </x:si>
  <x:si>
    <x:t xml:space="preserve">类型</x:t>
  </x:si>
  <x:si>
    <x:t xml:space="preserve">当前指标</x:t>
  </x:si>
  <x:si>
    <x:t xml:space="preserve">核验状态</x:t>
  </x:si>
  <x:si>
    <x:t xml:space="preserve">学习用途</x:t>
  </x:si>
  <x:si>
    <x:t xml:space="preserve">GitHub</x:t>
  </x:si>
  <x:si>
    <x:t xml:space="preserve">stars 371,926；forks 76,998；GitHub API 于 2026-05-15 返回</x:t>
  </x:si>
  <x:si>
    <x:t xml:space="preserve">已API核验</x:t>
  </x:si>
  <x:si>
    <x:t xml:space="preserve">浏览器/通用 Agent 方向；建议先读 README 再看视频</x:t>
  </x:si>
  <x:si>
    <x:t xml:space="preserve">stars 32,076；forks 5,443；GitHub API 于 2026-05-15 返回</x:t>
  </x:si>
  <x:si>
    <x:t xml:space="preserve">主线 Agent 状态图框架</x:t>
  </x:si>
  <x:si>
    <x:t xml:space="preserve">LangChain</x:t>
  </x:si>
  <x:si>
    <x:t xml:space="preserve">stars 136,757；forks 22,616；GitHub API 于 2026-05-15 返回</x:t>
  </x:si>
  <x:si>
    <x:t xml:space="preserve">工具调用、RAG、Agent 生态补充</x:t>
  </x:si>
  <x:si>
    <x:t xml:space="preserve">stars 141,409；forks 22,210；GitHub API 于 2026-05-15 返回</x:t>
  </x:si>
  <x:si>
    <x:t xml:space="preserve">低代码 Agent / RAG / workflow 实践</x:t>
  </x:si>
  <x:si>
    <x:t xml:space="preserve">MCP Python SDK</x:t>
  </x:si>
  <x:si>
    <x:t xml:space="preserve">stars 23,005；forks 3,425；GitHub API 于 2026-05-15 返回</x:t>
  </x:si>
  <x:si>
    <x:t xml:space="preserve">Python MCP server/client 实操</x:t>
  </x:si>
  <x:si>
    <x:t xml:space="preserve">MCP TypeScript SDK</x:t>
  </x:si>
  <x:si>
    <x:t xml:space="preserve">stars 12,426；forks 1,841；GitHub API 于 2026-05-15 返回</x:t>
  </x:si>
  <x:si>
    <x:t xml:space="preserve">理解 MCP 生态与 TS 实现</x:t>
  </x:si>
  <x:si>
    <x:t xml:space="preserve">GitHub Skills</x:t>
  </x:si>
  <x:si>
    <x:t xml:space="preserve">交互式文档</x:t>
  </x:si>
  <x:si>
    <x:t xml:space="preserve">非视频，无播放/点赞指标</x:t>
  </x:si>
  <x:si>
    <x:t xml:space="preserve">类型已纠正</x:t>
  </x:si>
  <x:si>
    <x:t xml:space="preserve">Git/GitHub 基础练习</x:t>
  </x:si>
  <x:si>
    <x:t xml:space="preserve">DeepSeek API Docs</x:t>
  </x:si>
  <x:si>
    <x:t xml:space="preserve">官方文档</x:t>
  </x:si>
  <x:si>
    <x:t xml:space="preserve">官方文档，无视频指标</x:t>
  </x:si>
  <x:si>
    <x:t xml:space="preserve">官方来源</x:t>
  </x:si>
  <x:si>
    <x:t xml:space="preserve">默认 API 调用与成本控制</x:t>
  </x:si>
  <x:si>
    <x:t xml:space="preserve">Dify Docs</x:t>
  </x:si>
  <x:si>
    <x:t xml:space="preserve">Dify 环境搭建和工作流配置</x:t>
  </x:si>
  <x:si>
    <x:t xml:space="preserve">LangGraph Docs</x:t>
  </x:si>
  <x:si>
    <x:t xml:space="preserve">LangGraph 节点、边、状态、checkpoint</x:t>
  </x:si>
  <x:si>
    <x:t xml:space="preserve">MCP Docs</x:t>
  </x:si>
  <x:si>
    <x:t xml:space="preserve">MCP 协议和 server/client 概念</x:t>
  </x:si>
  <x:si>
    <x:t xml:space="preserve">说明</x:t>
  </x:si>
  <x:si>
    <x:t xml:space="preserve">为什么之前不能直接给全量精确指标</x:t>
  </x:si>
  <x:si>
    <x:t xml:space="preserve">B站公开视频页/API 在当前环境出现 TLS/连接重置，不能稳定抓到播放、点赞、投币、收藏。为了不造假，表中把来源分为“搜索摘要-指标较全/不全”和“待人工核验”。</x:t>
  </x:si>
  <x:si>
    <x:t xml:space="preserve">高质量排序口径</x:t>
  </x:si>
  <x:si>
    <x:t xml:space="preserve">视频按综合热度分排序：播放量*0.02 + 点赞*1 + 投币*1.8 + 收藏*1.4。收藏/投币代表学习意愿，权重高于播放量。</x:t>
  </x:si>
  <x:si>
    <x:t xml:space="preserve">已API核验：通过 API 当前核验；搜索摘要-指标较全：搜索结果/公开视频摘要提供至少播放、点赞、投币、收藏中 3 项；搜索摘要-指标不全：仅部分指标；待人工核验：暂只有候选链接或搜索入口。</x:t>
  </x:si>
  <x:si>
    <x:t xml:space="preserve">如何手动复核</x:t>
  </x:si>
  <x:si>
    <x:t xml:space="preserve">打开“模块视频Top5”的链接，记录播放、点赞、投币、收藏、评论/弹幕；若标题相似，优先收藏/投币高且内容完整的视频。</x:t>
  </x:si>
  <x:si>
    <x:t xml:space="preserve">GitHub Skills 是否是视频</x:t>
  </x:si>
  <x:si>
    <x:t xml:space="preserve">不是。它属于“文档 / GitHub / 工具资源”，不应放进视频资源。</x:t>
  </x:si>
  <x:si>
    <x:t xml:space="preserve">你推荐的注意力机制视频</x:t>
  </x:si>
  <x:si>
    <x:t xml:space="preserve">已放入“LLM基础 / 注意力机制”Top5，并标为优先视频候选之一。</x:t>
  </x:si>
  <x:si>
    <x:t xml:space="preserve">DeepSeek 成本策略</x:t>
  </x:si>
  <x:si>
    <x:t xml:space="preserve">实践默认用 deepseek-v4-flash；只有评估、长上下文、复杂推理失败时再临时切更贵模型。</x:t>
  </x:si>
  <x:si>
    <x:t xml:space="preserve">OpenClaw 处理方式</x:t>
  </x:si>
  <x:si>
    <x:t xml:space="preserve">OpenClaw 视频资源少且指标未能稳定核验，所以放入单独模块并标“待人工核验”；GitHub/官方文档应作为主资源。</x:t>
  </x:si>
  <x:si>
    <x:t xml:space="preserve">不敷衍的使用方法</x:t>
  </x:si>
  <x:si>
    <x:t xml:space="preserve">每天主计划只放最必要资源；Top5 表用于横向比较和替代选择。看不懂主视频时，按 Top5 的第2-5个换讲法。</x:t>
  </x:si>
</x:sst>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0"/>
      <x:color rgb="FFFFFF"/>
      <x:name val="微软雅黑"/>
    </x:font>
    <x:font>
      <x:sz val="10"/>
      <x:name val="微软雅黑"/>
    </x:font>
    <x:font>
      <x:sz val="11"/>
      <x:name val="微软雅黑"/>
    </x:font>
    <x:font>
      <x:b/>
      <x:sz val="11"/>
      <x:name val="微软雅黑"/>
    </x:font>
    <x:font>
      <x:b/>
      <x:sz val="11"/>
      <x:color rgb="FFFFFF"/>
      <x:name val="微软雅黑"/>
    </x:font>
    <x:font>
      <x:sz val="11"/>
      <x:name val="Carlito"/>
    </x:font>
    <x:font>
      <x:sz val="9"/>
      <x:name val="宋体"/>
    </x:font>
    <x:font>
      <x:sz val="11"/>
      <x:color rgb="FFFFFF"/>
      <x:name val="微软雅黑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2937"/>
      </x:patternFill>
    </x:fill>
    <x:fill>
      <x:patternFill patternType="solid">
        <x:fgColor rgb="7C2D12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4F8EA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3F8"/>
      </x:patternFill>
    </x:fill>
    <x:fill>
      <x:patternFill patternType="solid">
        <x:fgColor rgb="F4F8EA"/>
      </x:patternFill>
    </x:fill>
    <x:fill>
      <x:patternFill patternType="solid">
        <x:fgColor rgb="FFF2CC"/>
      </x:patternFill>
    </x:fill>
  </x:fills>
  <x:borders count="2">
    <x:border/>
    <x:border/>
  </x:borders>
  <x:cellStyleXfs count="2">
    <x:xf numFmtId="0" fontId="0" fillId="0" borderId="0"/>
    <x:xf numFmtId="0" fontId="6" fillId="0" borderId="0"/>
  </x:cellStyleXfs>
  <x:cellXfs count="106">
    <x:xf numFmtId="0" fontId="0" fillId="0" borderId="0" xfId="0"/>
    <x:xf numFmtId="0" fontId="2" fillId="0" borderId="0" xfId="1" applyFont="1" applyAlignment="1">
      <x:alignment wrapText="1"/>
    </x:xf>
    <x:xf numFmtId="0" fontId="1" fillId="3" borderId="0" xfId="1" applyFont="1" applyFill="1" applyAlignment="1">
      <x:alignment wrapText="1"/>
    </x:xf>
    <x:xf numFmtId="0" fontId="1" fillId="2" borderId="0" xfId="1" applyFont="1" applyFill="1" applyAlignment="1">
      <x:alignment horizontal="center" wrapText="1"/>
    </x:xf>
    <x:xf numFmtId="0" fontId="1" fillId="4" borderId="0" xfId="1" applyFont="1" applyFill="1" applyAlignment="1">
      <x:alignment wrapText="1"/>
    </x:xf>
    <x:xf numFmtId="0" fontId="1" fillId="5" borderId="0" xfId="1" applyFont="1" applyFill="1" applyAlignment="1">
      <x:alignment horizontal="center" wrapText="1"/>
    </x:xf>
    <x:xf numFmtId="0" fontId="3" fillId="0" borderId="0" xfId="1" applyFont="1"/>
    <x:xf numFmtId="0" fontId="4" fillId="0" borderId="0" xfId="1" applyFont="1"/>
    <x:xf numFmtId="0" fontId="5" fillId="6" borderId="0" xfId="1" applyFont="1" applyFill="1" applyAlignment="1">
      <x:alignment wrapText="1"/>
    </x:xf>
    <x:xf numFmtId="0" fontId="3" fillId="0" borderId="0" xfId="1" applyFont="1" applyAlignment="1">
      <x:alignment wrapText="1"/>
    </x:xf>
    <x:xf numFmtId="0" fontId="3" fillId="0" borderId="0" xfId="1" applyFont="1" applyAlignment="1">
      <x:alignment vertical="top" wrapText="1"/>
    </x:xf>
    <x:xf numFmtId="0" fontId="5" fillId="7" borderId="0" xfId="1" applyFont="1" applyFill="1" applyAlignment="1">
      <x:alignment horizontal="center" vertical="center" wrapText="1"/>
    </x:xf>
    <x:xf numFmtId="0" fontId="3" fillId="0" borderId="0" xfId="1" applyFont="1" applyAlignment="1">
      <x:alignment horizontal="center" vertical="top" wrapText="1"/>
    </x:xf>
    <x:xf numFmtId="0" fontId="5" fillId="8" borderId="0" xfId="1" applyFont="1" applyFill="1" applyAlignment="1">
      <x:alignment horizontal="center" vertical="center" wrapText="1"/>
    </x:xf>
    <x:xf numFmtId="0" fontId="3" fillId="9" borderId="0" xfId="1" applyFont="1" applyFill="1" applyAlignment="1">
      <x:alignment vertical="top" wrapText="1"/>
    </x:xf>
    <x:xf numFmtId="0" fontId="3" fillId="10" borderId="0" xfId="1" applyFont="1" applyFill="1" applyAlignment="1">
      <x:alignment vertical="top" wrapText="1"/>
    </x:xf>
    <x:xf numFmtId="0" fontId="3" fillId="11" borderId="0" xfId="1" applyFont="1" applyFill="1" applyAlignment="1">
      <x:alignment vertical="top" wrapText="1"/>
    </x:xf>
    <x:xf numFmtId="0" fontId="4" fillId="12" borderId="0" xfId="1" applyFont="1" applyFill="1" applyAlignment="1">
      <x:alignment horizontal="center" vertical="center" wrapText="1"/>
    </x:xf>
    <x:xf numFmtId="0" fontId="3" fillId="9" borderId="0" xfId="1" applyFont="1" applyFill="1" applyAlignment="1">
      <x:alignment horizontal="center" vertical="center" wrapText="1"/>
    </x:xf>
    <x:xf numFmtId="0" fontId="3" fillId="10" borderId="0" xfId="1" applyFont="1" applyFill="1" applyAlignment="1">
      <x:alignment horizontal="center" vertical="center" wrapText="1"/>
    </x:xf>
    <x:xf numFmtId="0" fontId="3" fillId="11" borderId="0" xfId="1" applyFont="1" applyFill="1" applyAlignment="1">
      <x:alignment horizontal="center" vertical="center" wrapText="1"/>
    </x:xf>
    <x:xf numFmtId="0" fontId="3" fillId="9" borderId="0" xfId="1" applyFont="1" applyFill="1" applyAlignment="1">
      <x:alignment vertical="top" wrapText="1"/>
    </x:xf>
    <x:xf numFmtId="0" fontId="3" fillId="10" borderId="0" xfId="1" applyFont="1" applyFill="1" applyAlignment="1">
      <x:alignment vertical="top" wrapText="1"/>
    </x:xf>
    <x:xf numFmtId="0" fontId="3" fillId="11" borderId="0" xfId="1" applyFont="1" applyFill="1" applyAlignment="1">
      <x:alignment vertical="top" wrapText="1"/>
    </x:xf>
    <x:xf numFmtId="0" fontId="0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1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1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5" fillId="13" borderId="1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9" fillId="13" borderId="0" xfId="0" applyNumberFormat="1" applyFont="1" applyFill="1" applyBorder="1"/>
    <x:xf numFmtId="0" fontId="9" fillId="13" borderId="1" xfId="0" applyNumberFormat="1" applyFont="1" applyFill="1" applyBorder="1"/>
    <x:xf numFmtId="0" fontId="10" fillId="13" borderId="0" xfId="0" applyNumberFormat="1" applyFont="1" applyFill="1" applyBorder="1"/>
    <x:xf numFmtId="0" fontId="10" fillId="13" borderId="1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1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/>
    </x:xf>
    <x:xf numFmtId="0" fontId="5" fillId="13" borderId="1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1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1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1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1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1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4" fillId="15" borderId="1" xfId="0" applyNumberFormat="1" applyFont="1" applyFill="1" applyBorder="1" applyAlignment="1">
      <x:alignment horizontal="center" vertical="top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1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horizontal="center" vertical="top" wrapText="1"/>
    </x:xf>
    <x:xf numFmtId="0" fontId="4" fillId="16" borderId="1" xfId="0" applyNumberFormat="1" applyFont="1" applyFill="1" applyBorder="1" applyAlignment="1">
      <x:alignment horizontal="center" vertical="top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1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horizontal="center" vertical="top" wrapText="1"/>
    </x:xf>
    <x:xf numFmtId="0" fontId="4" fillId="17" borderId="1" xfId="0" applyNumberFormat="1" applyFont="1" applyFill="1" applyBorder="1" applyAlignment="1">
      <x:alignment horizontal="center" vertical="top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ed171ebdb4448" /><Relationship Type="http://schemas.openxmlformats.org/officeDocument/2006/relationships/theme" Target="/xl/theme/theme1.xml" Id="R240c7ada65c84d77" /><Relationship Type="http://schemas.openxmlformats.org/officeDocument/2006/relationships/sharedStrings" Target="/xl/sharedStrings.xml" Id="Rf251aab740a64f05" /><Relationship Type="http://schemas.openxmlformats.org/officeDocument/2006/relationships/worksheet" Target="/xl/worksheets/sheet1.xml" Id="Rd7c8cab3ac464392" /><Relationship Type="http://schemas.openxmlformats.org/officeDocument/2006/relationships/worksheet" Target="/xl/worksheets/sheet2.xml" Id="Rbf837ce064f340e6" /><Relationship Type="http://schemas.openxmlformats.org/officeDocument/2006/relationships/worksheet" Target="/xl/worksheets/sheet3.xml" Id="Rff32e56446ca4f2c" /><Relationship Type="http://schemas.openxmlformats.org/officeDocument/2006/relationships/worksheet" Target="/xl/worksheets/sheet4.xml" Id="Rbfc8ad7e477247d6" /><Relationship Type="http://schemas.openxmlformats.org/officeDocument/2006/relationships/worksheet" Target="/xl/worksheets/sheet5.xml" Id="Rb09f666f69484c33" /><Relationship Type="http://schemas.openxmlformats.org/officeDocument/2006/relationships/worksheet" Target="/xl/worksheets/sheet6.xml" Id="Rf4d816f235f947e5" /><Relationship Type="http://schemas.openxmlformats.org/officeDocument/2006/relationships/worksheet" Target="/xl/worksheets/sheet7.xml" Id="R7b3b6377b2144ba4" /><Relationship Type="http://schemas.openxmlformats.org/officeDocument/2006/relationships/worksheet" Target="/xl/worksheets/sheet8.xml" Id="Rb249b2b706714b1d" /><Relationship Type="http://schemas.openxmlformats.org/officeDocument/2006/relationships/worksheet" Target="/xl/worksheets/sheet9.xml" Id="R4fcbdd9af0e54385" /><Relationship Type="http://schemas.openxmlformats.org/officeDocument/2006/relationships/worksheet" Target="/xl/worksheets/sheet10.xml" Id="Rd94c393360844da3" /></Relationships>
</file>

<file path=xl/tables/table1.xml><?xml version="1.0" encoding="utf-8"?>
<x:table xmlns:x="http://schemas.openxmlformats.org/spreadsheetml/2006/main" id="3" name="ResourceLibrary" displayName="ResourceLibrary" ref="A1:B15">
  <x:tableColumns count="2">
    <x:tableColumn id="1" name="主题"/>
    <x:tableColumn id="2" name="资源"/>
  </x:tableColumns>
  <x:tableStyleInfo name="TableStyleMedium2" showRowStripes="1"/>
</x:table>
</file>

<file path=xl/tables/table2.xml><?xml version="1.0" encoding="utf-8"?>
<x:table xmlns:x="http://schemas.openxmlformats.org/spreadsheetml/2006/main" id="4" name="Acceptance" displayName="Acceptance" ref="A1:E8">
  <x:tableColumns count="5">
    <x:tableColumn id="1" name="验收项"/>
    <x:tableColumn id="2" name="标准"/>
    <x:tableColumn id="3" name="触发学习日"/>
    <x:tableColumn id="4" name="状态"/>
    <x:tableColumn id="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9a79f19acc640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e7c3ecbcb7d48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.125" customWidth="1"/>
    <x:col min="2" max="2" width="110.6875" customWidth="1"/>
  </x:cols>
  <x:sheetData>
    <x:row r="1" ht="14.649999618530273">
      <x:c r="A1" s="105" t="s">
        <x:v>0</x:v>
      </x:c>
      <x:c r="B1" s="105" t="s">
        <x:v>1</x:v>
      </x:c>
    </x:row>
    <x:row r="2" ht="14.25">
      <x:c r="A2" s="1" t="s">
        <x:v>2</x:v>
      </x:c>
      <x:c r="B2" s="1" t="str">
        <x:v>70 天进阶版</x:v>
      </x:c>
    </x:row>
    <x:row r="3" ht="14.25">
      <x:c r="A3" s="1" t="s">
        <x:v>3</x:v>
      </x:c>
      <x:c r="B3" s="1" t="s">
        <x:v>4</x:v>
      </x:c>
    </x:row>
    <x:row r="4" ht="14.25">
      <x:c r="A4" s="1" t="s">
        <x:v>5</x:v>
      </x:c>
      <x:c r="B4" s="1" t="s">
        <x:v>6</x:v>
      </x:c>
    </x:row>
    <x:row r="5" ht="14.25">
      <x:c r="A5" s="1" t="s">
        <x:v>7</x:v>
      </x:c>
      <x:c r="B5" s="1" t="s">
        <x:v>8</x:v>
      </x:c>
    </x:row>
    <x:row r="6" ht="14.25">
      <x:c r="A6" s="1" t="s">
        <x:v>9</x:v>
      </x:c>
      <x:c r="B6" s="1" t="s">
        <x:v>10</x:v>
      </x:c>
    </x:row>
    <x:row r="7" ht="14.25">
      <x:c r="A7" s="1" t="s">
        <x:v>11</x:v>
      </x:c>
      <x:c r="B7" s="1" t="s">
        <x:v>12</x:v>
      </x:c>
    </x:row>
    <x:row r="8" ht="14.25">
      <x:c r="A8" s="1" t="s">
        <x:v>13</x:v>
      </x:c>
      <x:c r="B8" s="1" t="s">
        <x:v>14</x:v>
      </x:c>
    </x:row>
    <x:row r="9" ht="14.25">
      <x:c r="A9" s="1" t="s">
        <x:v>15</x:v>
      </x:c>
      <x:c r="B9" s="1" t="s">
        <x:v>16</x:v>
      </x:c>
    </x:row>
    <x:row r="10" ht="14.25">
      <x:c r="A10" s="1" t="s">
        <x:v>17</x:v>
      </x:c>
      <x:c r="B10" s="1" t="s">
        <x:v>18</x:v>
      </x:c>
    </x:row>
    <x:row r="11" ht="14.25">
      <x:c r="A11" s="1" t="s">
        <x:v>19</x:v>
      </x:c>
      <x:c r="B11" s="1" t="s">
        <x:v>20</x:v>
      </x:c>
    </x:row>
    <x:row r="12" ht="14.25">
      <x:c r="A12" s="1" t="s">
        <x:v>21</x:v>
      </x:c>
      <x:c r="B12" s="1" t="s">
        <x:v>22</x:v>
      </x:c>
    </x:row>
    <x:row r="13" ht="14.25">
      <x:c r="A13" s="1" t="s">
        <x:v>23</x:v>
      </x:c>
      <x:c r="B13" s="1" t="s">
        <x:v>24</x:v>
      </x:c>
    </x:row>
    <x:row r="14" ht="14.25">
      <x:c r="A14" s="1" t="s">
        <x:v>25</x:v>
      </x:c>
      <x:c r="B14" s="1" t="s">
        <x:v>26</x:v>
      </x:c>
    </x:row>
    <x:row r="15" ht="14.25">
      <x:c r="A15" s="1"/>
      <x:c r="B15" s="1"/>
    </x:row>
    <x:row r="16" ht="14.25">
      <x:c r="A16" s="1"/>
      <x:c r="B16" s="1"/>
    </x:row>
    <x:row r="17" ht="14.25">
      <x:c r="A17" s="1"/>
      <x:c r="B17" s="1"/>
    </x:row>
    <x:row r="18" ht="14.25">
      <x:c r="A18" s="1" t="s">
        <x:v>27</x:v>
      </x:c>
      <x:c r="B18" s="1" t="s">
        <x:v>28</x:v>
      </x:c>
    </x:row>
    <x:row r="19" ht="14.25">
      <x:c r="A19" s="1" t="s">
        <x:v>29</x:v>
      </x:c>
      <x:c r="B19" s="1" t="s">
        <x:v>30</x:v>
      </x:c>
    </x:row>
    <x:row r="20" ht="14.25">
      <x:c r="A20" s="1" t="s">
        <x:v>31</x:v>
      </x:c>
      <x:c r="B20" s="1" t="s">
        <x:v>32</x:v>
      </x:c>
    </x:row>
    <x:row r="21" ht="15.75">
      <x:c r="A21" s="7" t="s">
        <x:v>33</x:v>
      </x:c>
      <x:c r="B21" s="6" t="s">
        <x:v>34</x:v>
      </x:c>
    </x:row>
    <x:row r="22" ht="15.75">
      <x:c r="A22" s="7" t="s">
        <x:v>35</x:v>
      </x:c>
      <x:c r="B22" s="6" t="s">
        <x:v>36</x:v>
      </x:c>
    </x:row>
    <x:row r="23" ht="15.75">
      <x:c r="A23" s="7" t="s">
        <x:v>37</x:v>
      </x:c>
      <x:c r="B23" s="6" t="s">
        <x:v>38</x:v>
      </x:c>
    </x:row>
    <x:row r="24" ht="15.75">
      <x:c r="A24" s="7" t="s">
        <x:v>39</x:v>
      </x:c>
      <x:c r="B24" s="6" t="s">
        <x:v>40</x:v>
      </x:c>
    </x:row>
    <x:row r="25" ht="15.75">
      <x:c r="A25" s="7" t="s">
        <x:v>41</x:v>
      </x:c>
      <x:c r="B25" s="6" t="s">
        <x:v>42</x:v>
      </x:c>
    </x:row>
    <x:row r="26" ht="15.75">
      <x:c r="A26" s="7" t="s">
        <x:v>43</x:v>
      </x:c>
      <x:c r="B26" s="6" t="s">
        <x:v>44</x:v>
      </x:c>
    </x:row>
    <x:row r="27" ht="15.75">
      <x:c r="A27" s="7" t="s">
        <x:v>45</x:v>
      </x:c>
      <x:c r="B27" s="6" t="s">
        <x:v>46</x:v>
      </x:c>
    </x:row>
    <x:row r="28" ht="15.75">
      <x:c r="A28" s="7" t="s">
        <x:v>47</x:v>
      </x:c>
      <x:c r="B28" s="6" t="s">
        <x:v>48</x:v>
      </x:c>
    </x:row>
    <x:row r="29" ht="15.75">
      <x:c r="A29" s="7" t="s">
        <x:v>49</x:v>
      </x:c>
      <x:c r="B29" s="6" t="s">
        <x:v>50</x:v>
      </x:c>
    </x:row>
    <x:row r="30" ht="15.75">
      <x:c r="A30" s="7" t="s">
        <x:v>51</x:v>
      </x:c>
      <x:c r="B30" s="6" t="s">
        <x:v>52</x:v>
      </x:c>
    </x:row>
    <x:row r="31" ht="15.75">
      <x:c r="A31" s="7" t="s">
        <x:v>53</x:v>
      </x:c>
      <x:c r="B31" s="6" t="s">
        <x:v>54</x:v>
      </x:c>
    </x:row>
    <x:row r="32">
      <x:c r="A32" s="104" t="str">
        <x:v>阶段 7</x:v>
      </x:c>
      <x:c r="B32" s="43" t="str">
        <x:v>第51-65天：微调认知、数据集、LoRA/QLoRA dry-run、评估与取舍</x:v>
      </x:c>
    </x:row>
    <x:row r="33">
      <x:c r="A33" s="104" t="str">
        <x:v>阶段 8</x:v>
      </x:c>
      <x:c r="B33" s="43" t="str">
        <x:v>第66-70天：微调工程化、部署成本、毕业项目技术决策、最终复盘</x:v>
      </x:c>
    </x:row>
    <x:row r="34">
      <x:c r="A34" s="104" t="str">
        <x:v>主用表</x:v>
      </x:c>
      <x:c r="B34" s="43" t="str">
        <x:v>建议优先使用“70天分层打卡”，它把模块层级和每日任务合在一起。</x:v>
      </x:c>
    </x:row>
    <x:row r="35">
      <x:c r="A35" s="104" t="str">
        <x:v>微调定位</x:v>
      </x:c>
      <x:c r="B35" s="43" t="str">
        <x:v>可选高级篇：目标是理解和做小实验，不建议一开始把本地训练环境作为硬门槛。</x:v>
      </x:c>
    </x:row>
    <x:row r="36">
      <x:c r="A36" s="104" t="str">
        <x:v>重要提醒</x:v>
      </x:c>
      <x:c r="B36" s="43" t="str">
        <x:v>知识更新优先 RAG；格式/风格/任务模式稳定化才考虑微调。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30.709999084472656" hidden="0" customWidth="1"/>
    <x:col min="2" max="2" width="15" hidden="0" customWidth="1"/>
    <x:col min="3" max="3" width="12.140000343322754" hidden="0" customWidth="1"/>
    <x:col min="4" max="4" width="17.860000610351562" hidden="0" customWidth="1"/>
    <x:col min="5" max="5" width="53.56999969482422" hidden="0" customWidth="1"/>
    <x:col min="6" max="6" width="39.290000915527344" hidden="0" customWidth="1"/>
    <x:col min="7" max="7" width="46.43000030517578" hidden="0" customWidth="1"/>
    <x:col min="8" max="8" width="45" hidden="0" customWidth="1"/>
    <x:col min="9" max="9" width="39.290000915527344" hidden="0" customWidth="1"/>
  </x:cols>
  <x:sheetData>
    <x:row r="1" ht="12.75" customHeight="1">
      <x:c r="A1" s="52" t="str">
        <x:v>学习模块</x:v>
      </x:c>
      <x:c r="B1" s="52" t="str">
        <x:v>篇章层级</x:v>
      </x:c>
      <x:c r="C1" s="52" t="str">
        <x:v>建议天数</x:v>
      </x:c>
      <x:c r="D1" s="52" t="str">
        <x:v>关联打卡天数</x:v>
      </x:c>
      <x:c r="E1" s="52" t="str">
        <x:v>理论/技能重点</x:v>
      </x:c>
      <x:c r="F1" s="52" t="str">
        <x:v>学完能做到</x:v>
      </x:c>
      <x:c r="G1" s="52" t="str">
        <x:v>环境依赖</x:v>
      </x:c>
      <x:c r="H1" s="52" t="str">
        <x:v>核心资源入口</x:v>
      </x:c>
      <x:c r="I1" s="52" t="str">
        <x:v>实践产物</x:v>
      </x:c>
    </x:row>
    <x:row r="2" ht="34.5" customHeight="1">
      <x:c r="A2" s="45" t="str">
        <x:v>0. 最小环境与学习仓库</x:v>
      </x:c>
      <x:c r="B2" s="45" t="str">
        <x:v>理论基础篇</x:v>
      </x:c>
      <x:c r="C2" s="45" t="str">
        <x:v>1天</x:v>
      </x:c>
      <x:c r="D2" s="45" t="str">
        <x:v>第1-3天</x:v>
      </x:c>
      <x:c r="E2" s="45" t="str">
        <x:v>理解学习目录、版本管理、API Key 安全、为什么要每天有输出物</x:v>
      </x:c>
      <x:c r="F2" s="45" t="str">
        <x:v>能解释 demos/ notes/ evals/ data/ 各自用途</x:v>
      </x:c>
      <x:c r="G2" s="45" t="str">
        <x:v>Python 3.11+、Git、VS Code、uv/pip；暂不需要 Docker</x:v>
      </x:c>
      <x:c r="H2" s="45" t="str">
        <x:v>GitHub Skills、Python/Git/VS Code/uv 文档</x:v>
      </x:c>
      <x:c r="I2" s="45" t="str">
        <x:v>目录说明笔记</x:v>
      </x:c>
    </x:row>
    <x:row r="3" ht="34.5" customHeight="1">
      <x:c r="A3" s="45" t="str">
        <x:v>0. 最小环境与学习仓库</x:v>
      </x:c>
      <x:c r="B3" s="45" t="str">
        <x:v>进阶篇</x:v>
      </x:c>
      <x:c r="C3" s="45" t="str">
        <x:v>1天</x:v>
      </x:c>
      <x:c r="D3" s="45" t="str">
        <x:v>第1-3天</x:v>
      </x:c>
      <x:c r="E3" s="45" t="str">
        <x:v>建立学习日志、问题清单、错误复盘模板，把自学过程可追踪</x:v>
      </x:c>
      <x:c r="F3" s="45" t="str">
        <x:v>每天能记录问题、错误、解决方案</x:v>
      </x:c>
      <x:c r="G3" s="45" t="str">
        <x:v>Python 3.11+、Git、VS Code、uv/pip；暂不需要 Docker</x:v>
      </x:c>
      <x:c r="H3" s="45" t="str">
        <x:v>README、daily-log、troubleshooting 模板</x:v>
      </x:c>
      <x:c r="I3" s="45" t="str">
        <x:v>notes/daily-log.md</x:v>
      </x:c>
    </x:row>
    <x:row r="4" ht="34.5" customHeight="1">
      <x:c r="A4" s="45" t="str">
        <x:v>0. 最小环境与学习仓库</x:v>
      </x:c>
      <x:c r="B4" s="45" t="str">
        <x:v>实战篇</x:v>
      </x:c>
      <x:c r="C4" s="45" t="str">
        <x:v>1天</x:v>
      </x:c>
      <x:c r="D4" s="45" t="str">
        <x:v>第1-3天</x:v>
      </x:c>
      <x:c r="E4" s="45" t="str">
        <x:v>创建 ai-agent-learning 仓库，完成第一次 commit，并准备后续实验目录</x:v>
      </x:c>
      <x:c r="F4" s="45" t="str">
        <x:v>repo 可复用；.env 不进 Git</x:v>
      </x:c>
      <x:c r="G4" s="45" t="str">
        <x:v>Python 3.11+、Git、VS Code、uv/pip；暂不需要 Docker</x:v>
      </x:c>
      <x:c r="H4" s="45" t="str">
        <x:v>第1-3天主表步骤</x:v>
      </x:c>
      <x:c r="I4" s="45" t="str">
        <x:v>ai-agent-learning repo</x:v>
      </x:c>
    </x:row>
    <x:row r="5" ht="34.5" customHeight="1">
      <x:c r="A5" s="45" t="str">
        <x:v>1. Prompt / 结构化输出</x:v>
      </x:c>
      <x:c r="B5" s="45" t="str">
        <x:v>理论基础篇</x:v>
      </x:c>
      <x:c r="C5" s="45" t="str">
        <x:v>1天</x:v>
      </x:c>
      <x:c r="D5" s="45" t="str">
        <x:v>第4-7天</x:v>
      </x:c>
      <x:c r="E5" s="45" t="str">
        <x:v>掌握 role、context、constraints、format；理解 prompt 是模型接口，不是玄学咒语</x:v>
      </x:c>
      <x:c r="F5" s="45" t="str">
        <x:v>能写清楚任务目标和输出格式</x:v>
      </x:c>
      <x:c r="G5" s="45" t="str">
        <x:v>DeepSeek API、Pydantic/jsonschema；默认 deepseek-v4-flash</x:v>
      </x:c>
      <x:c r="H5" s="45" t="str">
        <x:v>模块视频Top5：Prompt Engineering</x:v>
      </x:c>
      <x:c r="I5" s="45" t="str">
        <x:v>notes/prompt_patterns.md</x:v>
      </x:c>
    </x:row>
    <x:row r="6" ht="34.5" customHeight="1">
      <x:c r="A6" s="45" t="str">
        <x:v>1. Prompt / 结构化输出</x:v>
      </x:c>
      <x:c r="B6" s="45" t="str">
        <x:v>进阶篇</x:v>
      </x:c>
      <x:c r="C6" s="45" t="str">
        <x:v>2天</x:v>
      </x:c>
      <x:c r="D6" s="45" t="str">
        <x:v>第4-7天</x:v>
      </x:c>
      <x:c r="E6" s="45" t="str">
        <x:v>Few-shot、ReAct 风格、JSON/schema、失败重试、prompt eval</x:v>
      </x:c>
      <x:c r="F6" s="45" t="str">
        <x:v>能用小测试集比较两个 prompt</x:v>
      </x:c>
      <x:c r="G6" s="45" t="str">
        <x:v>DeepSeek API、Pydantic/jsonschema；默认 deepseek-v4-flash</x:v>
      </x:c>
      <x:c r="H6" s="45" t="str">
        <x:v>Prompting Guide、Structured Outputs Cookbook</x:v>
      </x:c>
      <x:c r="I6" s="45" t="str">
        <x:v>demos/01_few_shot_lab.py</x:v>
      </x:c>
    </x:row>
    <x:row r="7" ht="34.5" customHeight="1">
      <x:c r="A7" s="45" t="str">
        <x:v>1. Prompt / 结构化输出</x:v>
      </x:c>
      <x:c r="B7" s="45" t="str">
        <x:v>实战篇</x:v>
      </x:c>
      <x:c r="C7" s="45" t="str">
        <x:v>1天</x:v>
      </x:c>
      <x:c r="D7" s="45" t="str">
        <x:v>第4-7天</x:v>
      </x:c>
      <x:c r="E7" s="45" t="str">
        <x:v>完成分类器/信息抽取/结构化输出脚本，并记录准确率、格式错误、遗漏</x:v>
      </x:c>
      <x:c r="F7" s="45" t="str">
        <x:v>能让输出稳定被程序解析</x:v>
      </x:c>
      <x:c r="G7" s="45" t="str">
        <x:v>DeepSeek API、Pydantic/jsonschema；默认 deepseek-v4-flash</x:v>
      </x:c>
      <x:c r="H7" s="45" t="str">
        <x:v>第4-7天练习指导</x:v>
      </x:c>
      <x:c r="I7" s="45" t="str">
        <x:v>demos/02_structured_output.py + evals/prompt_eval</x:v>
      </x:c>
    </x:row>
    <x:row r="8" ht="34.5" customHeight="1">
      <x:c r="A8" s="45" t="str">
        <x:v>2. LLM 基础 / Attention / Embedding</x:v>
      </x:c>
      <x:c r="B8" s="45" t="str">
        <x:v>理论基础篇</x:v>
      </x:c>
      <x:c r="C8" s="45" t="str">
        <x:v>1天</x:v>
      </x:c>
      <x:c r="D8" s="45" t="str">
        <x:v>第8-10天</x:v>
      </x:c>
      <x:c r="E8" s="45" t="str">
        <x:v>理解 token、context window、attention、QKV、embedding 的直觉</x:v>
      </x:c>
      <x:c r="F8" s="45" t="str">
        <x:v>能用自己的话讲输入如何变成输出</x:v>
      </x:c>
      <x:c r="G8" s="45" t="str">
        <x:v>笔记环境；Embedding 可先用伪代码或低成本 API</x:v>
      </x:c>
      <x:c r="H8" s="45" t="str">
        <x:v>注意力机制 Top5；Illustrated Transformer</x:v>
      </x:c>
      <x:c r="I8" s="45" t="str">
        <x:v>notes/llm_basics.md</x:v>
      </x:c>
    </x:row>
    <x:row r="9" ht="34.5" customHeight="1">
      <x:c r="A9" s="45" t="str">
        <x:v>2. LLM 基础 / Attention / Embedding</x:v>
      </x:c>
      <x:c r="B9" s="45" t="str">
        <x:v>进阶篇</x:v>
      </x:c>
      <x:c r="C9" s="45" t="str">
        <x:v>1天</x:v>
      </x:c>
      <x:c r="D9" s="45" t="str">
        <x:v>第8-10天</x:v>
      </x:c>
      <x:c r="E9" s="45" t="str">
        <x:v>理解 embedding 相似度、上下文限制、检索为什么不等于正确</x:v>
      </x:c>
      <x:c r="F9" s="45" t="str">
        <x:v>能解释为什么 RAG 需要 chunk 和召回</x:v>
      </x:c>
      <x:c r="G9" s="45" t="str">
        <x:v>笔记环境；Embedding 可先用伪代码或低成本 API</x:v>
      </x:c>
      <x:c r="H9" s="45" t="str">
        <x:v>Hugging Face NLP Course、Embeddings 文档</x:v>
      </x:c>
      <x:c r="I9" s="45" t="str">
        <x:v>相似度反例清单</x:v>
      </x:c>
    </x:row>
    <x:row r="10" ht="34.5" customHeight="1">
      <x:c r="A10" s="45" t="str">
        <x:v>2. LLM 基础 / Attention / Embedding</x:v>
      </x:c>
      <x:c r="B10" s="45" t="str">
        <x:v>实战篇</x:v>
      </x:c>
      <x:c r="C10" s="45" t="str">
        <x:v>1天</x:v>
      </x:c>
      <x:c r="D10" s="45" t="str">
        <x:v>第8-10天</x:v>
      </x:c>
      <x:c r="E10" s="45" t="str">
        <x:v>做 20 条短文本相似度检索，记录相似但不正确的反例</x:v>
      </x:c>
      <x:c r="F10" s="45" t="str">
        <x:v>能用 embedding 做最小检索</x:v>
      </x:c>
      <x:c r="G10" s="45" t="str">
        <x:v>笔记环境；Embedding 可先用伪代码或低成本 API</x:v>
      </x:c>
      <x:c r="H10" s="45" t="str">
        <x:v>第8-10天主表</x:v>
      </x:c>
      <x:c r="I10" s="45" t="str">
        <x:v>demos/03_embedding_search.py</x:v>
      </x:c>
    </x:row>
    <x:row r="11" ht="34.5" customHeight="1">
      <x:c r="A11" s="45" t="str">
        <x:v>3. Function / Tool Calling</x:v>
      </x:c>
      <x:c r="B11" s="45" t="str">
        <x:v>理论基础篇</x:v>
      </x:c>
      <x:c r="C11" s="45" t="str">
        <x:v>1天</x:v>
      </x:c>
      <x:c r="D11" s="45" t="str">
        <x:v>第11-14天</x:v>
      </x:c>
      <x:c r="E11" s="45" t="str">
        <x:v>理解 tool/function/schema/call/result 链路，区分模型决策和程序执行</x:v>
      </x:c>
      <x:c r="F11" s="45" t="str">
        <x:v>能画出工具调用时序图</x:v>
      </x:c>
      <x:c r="G11" s="45" t="str">
        <x:v>DeepSeek API、Pydantic/jsonschema、SQLite；用到 SQL 当天再建库</x:v>
      </x:c>
      <x:c r="H11" s="45" t="str">
        <x:v>模块视频Top5：Function Calling</x:v>
      </x:c>
      <x:c r="I11" s="45" t="str">
        <x:v>notes/tool_call_flow.md</x:v>
      </x:c>
    </x:row>
    <x:row r="12" ht="34.5" customHeight="1">
      <x:c r="A12" s="45" t="str">
        <x:v>3. Function / Tool Calling</x:v>
      </x:c>
      <x:c r="B12" s="45" t="str">
        <x:v>进阶篇</x:v>
      </x:c>
      <x:c r="C12" s="45" t="str">
        <x:v>2天</x:v>
      </x:c>
      <x:c r="D12" s="45" t="str">
        <x:v>第11-14天</x:v>
      </x:c>
      <x:c r="E12" s="45" t="str">
        <x:v>工具 schema 设计、错误处理、安全边界、allowlist、日志</x:v>
      </x:c>
      <x:c r="F12" s="45" t="str">
        <x:v>知道哪些工具必须人工确认</x:v>
      </x:c>
      <x:c r="G12" s="45" t="str">
        <x:v>DeepSeek API、Pydantic/jsonschema、SQLite；用到 SQL 当天再建库</x:v>
      </x:c>
      <x:c r="H12" s="45" t="str">
        <x:v>OpenAI Function Calling、JSON Schema</x:v>
      </x:c>
      <x:c r="I12" s="45" t="str">
        <x:v>notes/tool_safety.md</x:v>
      </x:c>
    </x:row>
    <x:row r="13" ht="34.5" customHeight="1">
      <x:c r="A13" s="45" t="str">
        <x:v>3. Function / Tool Calling</x:v>
      </x:c>
      <x:c r="B13" s="45" t="str">
        <x:v>实战篇</x:v>
      </x:c>
      <x:c r="C13" s="45" t="str">
        <x:v>1天</x:v>
      </x:c>
      <x:c r="D13" s="45" t="str">
        <x:v>第11-14天</x:v>
      </x:c>
      <x:c r="E13" s="45" t="str">
        <x:v>完成文件工具、只读 SQL 工具、安全拒绝案例</x:v>
      </x:c>
      <x:c r="F13" s="45" t="str">
        <x:v>能完成自然语言到安全工具调用闭环</x:v>
      </x:c>
      <x:c r="G13" s="45" t="str">
        <x:v>DeepSeek API、Pydantic/jsonschema、SQLite；用到 SQL 当天再建库</x:v>
      </x:c>
      <x:c r="H13" s="45" t="str">
        <x:v>第11-14天练习指导</x:v>
      </x:c>
      <x:c r="I13" s="45" t="str">
        <x:v>demos/04_file_tool.py、05_sql_tool.py</x:v>
      </x:c>
    </x:row>
    <x:row r="14" ht="34.5" customHeight="1">
      <x:c r="A14" s="45" t="str">
        <x:v>4. MCP</x:v>
      </x:c>
      <x:c r="B14" s="45" t="str">
        <x:v>理论基础篇</x:v>
      </x:c>
      <x:c r="C14" s="45" t="str">
        <x:v>1天</x:v>
      </x:c>
      <x:c r="D14" s="45" t="str">
        <x:v>第15-17天</x:v>
      </x:c>
      <x:c r="E14" s="45" t="str">
        <x:v>理解 MCP 是工具/上下文的协议层，server/client 如何协作</x:v>
      </x:c>
      <x:c r="F14" s="45" t="str">
        <x:v>能解释 MCP 和普通 function calling 的区别</x:v>
      </x:c>
      <x:c r="G14" s="45" t="str">
        <x:v>MCP Python SDK；需要时再装 Node/TS SDK；本地只读工具优先</x:v>
      </x:c>
      <x:c r="H14" s="45" t="str">
        <x:v>模块视频Top5：MCP</x:v>
      </x:c>
      <x:c r="I14" s="45" t="str">
        <x:v>notes/mcp_concepts.md</x:v>
      </x:c>
    </x:row>
    <x:row r="15" ht="34.5" customHeight="1">
      <x:c r="A15" s="45" t="str">
        <x:v>4. MCP</x:v>
      </x:c>
      <x:c r="B15" s="45" t="str">
        <x:v>进阶篇</x:v>
      </x:c>
      <x:c r="C15" s="45" t="str">
        <x:v>1天</x:v>
      </x:c>
      <x:c r="D15" s="45" t="str">
        <x:v>第15-17天</x:v>
      </x:c>
      <x:c r="E15" s="45" t="str">
        <x:v>文件 MCP、多个工具、资源暴露、权限边界</x:v>
      </x:c>
      <x:c r="F15" s="45" t="str">
        <x:v>能设计一个安全 MCP server</x:v>
      </x:c>
      <x:c r="G15" s="45" t="str">
        <x:v>MCP Python SDK；需要时再装 Node/TS SDK；本地只读工具优先</x:v>
      </x:c>
      <x:c r="H15" s="45" t="str">
        <x:v>MCP 官方文档、Python SDK</x:v>
      </x:c>
      <x:c r="I15" s="45" t="str">
        <x:v>MCP 工具设计草图</x:v>
      </x:c>
    </x:row>
    <x:row r="16" ht="34.5" customHeight="1">
      <x:c r="A16" s="45" t="str">
        <x:v>4. MCP</x:v>
      </x:c>
      <x:c r="B16" s="45" t="str">
        <x:v>实战篇</x:v>
      </x:c>
      <x:c r="C16" s="45" t="str">
        <x:v>1天</x:v>
      </x:c>
      <x:c r="D16" s="45" t="str">
        <x:v>第15-17天</x:v>
      </x:c>
      <x:c r="E16" s="45" t="str">
        <x:v>把本地文件读取/搜索包装成 MCP 工具，并用客户端调用</x:v>
      </x:c>
      <x:c r="F16" s="45" t="str">
        <x:v>MCP demo 可运行，有日志</x:v>
      </x:c>
      <x:c r="G16" s="45" t="str">
        <x:v>MCP Python SDK；需要时再装 Node/TS SDK；本地只读工具优先</x:v>
      </x:c>
      <x:c r="H16" s="45" t="str">
        <x:v>第15-17天主表</x:v>
      </x:c>
      <x:c r="I16" s="45" t="str">
        <x:v>mcp_file_tool demo</x:v>
      </x:c>
    </x:row>
    <x:row r="17" ht="34.5" customHeight="1">
      <x:c r="A17" s="45" t="str">
        <x:v>5. LangGraph / Agent 状态机</x:v>
      </x:c>
      <x:c r="B17" s="45" t="str">
        <x:v>理论基础篇</x:v>
      </x:c>
      <x:c r="C17" s="45" t="str">
        <x:v>2天</x:v>
      </x:c>
      <x:c r="D17" s="45" t="str">
        <x:v>第18-23天</x:v>
      </x:c>
      <x:c r="E17" s="45" t="str">
        <x:v>理解 state、node、edge、conditional edge、checkpoint</x:v>
      </x:c>
      <x:c r="F17" s="45" t="str">
        <x:v>能画出一个 Agent 状态图</x:v>
      </x:c>
      <x:c r="G17" s="45" t="str">
        <x:v>LangGraph、LangChain；checkpoint 到 Memory 当天再加</x:v>
      </x:c>
      <x:c r="H17" s="45" t="str">
        <x:v>模块视频Top5：LangGraph</x:v>
      </x:c>
      <x:c r="I17" s="45" t="str">
        <x:v>agent_state_diagram.md</x:v>
      </x:c>
    </x:row>
    <x:row r="18" ht="34.5" customHeight="1">
      <x:c r="A18" s="45" t="str">
        <x:v>5. LangGraph / Agent 状态机</x:v>
      </x:c>
      <x:c r="B18" s="45" t="str">
        <x:v>进阶篇</x:v>
      </x:c>
      <x:c r="C18" s="45" t="str">
        <x:v>2天</x:v>
      </x:c>
      <x:c r="D18" s="45" t="str">
        <x:v>第18-23天</x:v>
      </x:c>
      <x:c r="E18" s="45" t="str">
        <x:v>Planner/Executor/Reviewer、Human-in-the-loop、Tool 节点、多 Agent</x:v>
      </x:c>
      <x:c r="F18" s="45" t="str">
        <x:v>能解释循环、终止和人工确认条件</x:v>
      </x:c>
      <x:c r="G18" s="45" t="str">
        <x:v>LangGraph、LangChain；checkpoint 到 Memory 当天再加</x:v>
      </x:c>
      <x:c r="H18" s="45" t="str">
        <x:v>LangGraph Docs、Multi-agent Docs</x:v>
      </x:c>
      <x:c r="I18" s="45" t="str">
        <x:v>planner_executor_reviewer demo</x:v>
      </x:c>
    </x:row>
    <x:row r="19" ht="34.5" customHeight="1">
      <x:c r="A19" s="45" t="str">
        <x:v>5. LangGraph / Agent 状态机</x:v>
      </x:c>
      <x:c r="B19" s="45" t="str">
        <x:v>实战篇</x:v>
      </x:c>
      <x:c r="C19" s="45" t="str">
        <x:v>2天</x:v>
      </x:c>
      <x:c r="D19" s="45" t="str">
        <x:v>第18-23天</x:v>
      </x:c>
      <x:c r="E19" s="45" t="str">
        <x:v>做一个带工具的 LangGraph agent，并加入 reviewer 或 human gate</x:v>
      </x:c>
      <x:c r="F19" s="45" t="str">
        <x:v>可运行 MVP，状态可追踪</x:v>
      </x:c>
      <x:c r="G19" s="45" t="str">
        <x:v>LangGraph、LangChain；checkpoint 到 Memory 当天再加</x:v>
      </x:c>
      <x:c r="H19" s="45" t="str">
        <x:v>第18-23天练习指导</x:v>
      </x:c>
      <x:c r="I19" s="45" t="str">
        <x:v>langgraph_agent_v1</x:v>
      </x:c>
    </x:row>
    <x:row r="20" ht="34.5" customHeight="1">
      <x:c r="A20" s="45" t="str">
        <x:v>6. Memory / 长短期记忆</x:v>
      </x:c>
      <x:c r="B20" s="45" t="str">
        <x:v>理论基础篇</x:v>
      </x:c>
      <x:c r="C20" s="45" t="str">
        <x:v>1天</x:v>
      </x:c>
      <x:c r="D20" s="45" t="str">
        <x:v>第24-28天</x:v>
      </x:c>
      <x:c r="E20" s="45" t="str">
        <x:v>区分短期记忆、长期记忆、语义召回、用户画像和状态持久化</x:v>
      </x:c>
      <x:c r="F20" s="45" t="str">
        <x:v>能判断哪些信息该记、哪些不该记</x:v>
      </x:c>
      <x:c r="G20" s="45" t="str">
        <x:v>LangGraph checkpoint；长期记忆可选 mem0/Letta；向量检索复用 RAG 前置知识</x:v>
      </x:c>
      <x:c r="H20" s="45" t="str">
        <x:v>模块视频Top5：Memory / 长期记忆</x:v>
      </x:c>
      <x:c r="I20" s="45" t="str">
        <x:v>notes/memory_design.md</x:v>
      </x:c>
    </x:row>
    <x:row r="21" ht="34.5" customHeight="1">
      <x:c r="A21" s="45" t="str">
        <x:v>6. Memory / 长短期记忆</x:v>
      </x:c>
      <x:c r="B21" s="45" t="str">
        <x:v>进阶篇</x:v>
      </x:c>
      <x:c r="C21" s="45" t="str">
        <x:v>2天</x:v>
      </x:c>
      <x:c r="D21" s="45" t="str">
        <x:v>第24-28天</x:v>
      </x:c>
      <x:c r="E21" s="45" t="str">
        <x:v>checkpoint、summary memory、semantic recall、隐私和遗忘机制</x:v>
      </x:c>
      <x:c r="F21" s="45" t="str">
        <x:v>能设计 memory 写入/读取规则</x:v>
      </x:c>
      <x:c r="G21" s="45" t="str">
        <x:v>LangGraph checkpoint；长期记忆可选 mem0/Letta；向量检索复用 RAG 前置知识</x:v>
      </x:c>
      <x:c r="H21" s="45" t="str">
        <x:v>LangGraph Memory、mem0、Letta</x:v>
      </x:c>
      <x:c r="I21" s="45" t="str">
        <x:v>memory_policy.md</x:v>
      </x:c>
    </x:row>
    <x:row r="22" ht="34.5" customHeight="1">
      <x:c r="A22" s="45" t="str">
        <x:v>6. Memory / 长短期记忆</x:v>
      </x:c>
      <x:c r="B22" s="45" t="str">
        <x:v>实战篇</x:v>
      </x:c>
      <x:c r="C22" s="45" t="str">
        <x:v>2天</x:v>
      </x:c>
      <x:c r="D22" s="45" t="str">
        <x:v>第24-28天</x:v>
      </x:c>
      <x:c r="E22" s="45" t="str">
        <x:v>给前面的 agent 加短期记忆，再做一个长期记忆检索 demo</x:v>
      </x:c>
      <x:c r="F22" s="45" t="str">
        <x:v>能跨会话记住偏好但不泄露敏感信息</x:v>
      </x:c>
      <x:c r="G22" s="45" t="str">
        <x:v>LangGraph checkpoint；长期记忆可选 mem0/Letta；向量检索复用 RAG 前置知识</x:v>
      </x:c>
      <x:c r="H22" s="45" t="str">
        <x:v>第24-28天主表</x:v>
      </x:c>
      <x:c r="I22" s="45" t="str">
        <x:v>agent_memory_demo</x:v>
      </x:c>
    </x:row>
    <x:row r="23" ht="34.5" customHeight="1">
      <x:c r="A23" s="45" t="str">
        <x:v>7. RAG / 知识库 Agent</x:v>
      </x:c>
      <x:c r="B23" s="45" t="str">
        <x:v>理论基础篇</x:v>
      </x:c>
      <x:c r="C23" s="45" t="str">
        <x:v>1天</x:v>
      </x:c>
      <x:c r="D23" s="45" t="str">
        <x:v>第29-34天</x:v>
      </x:c>
      <x:c r="E23" s="45" t="str">
        <x:v>理解 chunk、embedding、retrieval、rerank、answer generation</x:v>
      </x:c>
      <x:c r="F23" s="45" t="str">
        <x:v>能解释 RAG 每一步解决什么问题</x:v>
      </x:c>
      <x:c r="G23" s="45" t="str">
        <x:v>Chroma/FAISS、文档解析、RAGAS；向量库到第29天再搭</x:v>
      </x:c>
      <x:c r="H23" s="45" t="str">
        <x:v>模块视频Top5：RAG</x:v>
      </x:c>
      <x:c r="I23" s="45" t="str">
        <x:v>notes/rag_pipeline.md</x:v>
      </x:c>
    </x:row>
    <x:row r="24" ht="34.5" customHeight="1">
      <x:c r="A24" s="45" t="str">
        <x:v>7. RAG / 知识库 Agent</x:v>
      </x:c>
      <x:c r="B24" s="45" t="str">
        <x:v>进阶篇</x:v>
      </x:c>
      <x:c r="C24" s="45" t="str">
        <x:v>3天</x:v>
      </x:c>
      <x:c r="D24" s="45" t="str">
        <x:v>第29-34天</x:v>
      </x:c>
      <x:c r="E24" s="45" t="str">
        <x:v>Hybrid/Rerank、Parent Retrieval、评估集、召回率和幻觉控制</x:v>
      </x:c>
      <x:c r="F24" s="45" t="str">
        <x:v>能比较不同 chunk 策略结果</x:v>
      </x:c>
      <x:c r="G24" s="45" t="str">
        <x:v>Chroma/FAISS、文档解析、RAGAS；向量库到第29天再搭</x:v>
      </x:c>
      <x:c r="H24" s="45" t="str">
        <x:v>LangChain RAG Docs、RAGAS</x:v>
      </x:c>
      <x:c r="I24" s="45" t="str">
        <x:v>chunking_eval_report.md</x:v>
      </x:c>
    </x:row>
    <x:row r="25" ht="34.5" customHeight="1">
      <x:c r="A25" s="45" t="str">
        <x:v>7. RAG / 知识库 Agent</x:v>
      </x:c>
      <x:c r="B25" s="45" t="str">
        <x:v>实战篇</x:v>
      </x:c>
      <x:c r="C25" s="45" t="str">
        <x:v>2天</x:v>
      </x:c>
      <x:c r="D25" s="45" t="str">
        <x:v>第29-34天</x:v>
      </x:c>
      <x:c r="E25" s="45" t="str">
        <x:v>做一个知识库 Agent v1，用固定问题集评估答案质量</x:v>
      </x:c>
      <x:c r="F25" s="45" t="str">
        <x:v>RAG demo + eval 报告</x:v>
      </x:c>
      <x:c r="G25" s="45" t="str">
        <x:v>Chroma/FAISS、文档解析、RAGAS；向量库到第29天再搭</x:v>
      </x:c>
      <x:c r="H25" s="45" t="str">
        <x:v>第29-34天主表</x:v>
      </x:c>
      <x:c r="I25" s="45" t="str">
        <x:v>knowledge_agent_v1</x:v>
      </x:c>
    </x:row>
    <x:row r="26" ht="34.5" customHeight="1">
      <x:c r="A26" s="45" t="str">
        <x:v>8. Dify / Workflow 对照</x:v>
      </x:c>
      <x:c r="B26" s="45" t="str">
        <x:v>理论基础篇</x:v>
      </x:c>
      <x:c r="C26" s="45" t="str">
        <x:v>1天</x:v>
      </x:c>
      <x:c r="D26" s="45" t="str">
        <x:v>第35-37天</x:v>
      </x:c>
      <x:c r="E26" s="45" t="str">
        <x:v>理解 Dify 把模型、知识库、工作流、Agent 抽象成产品界面</x:v>
      </x:c>
      <x:c r="F26" s="45" t="str">
        <x:v>能说出 Dify 和代码版 RAG 的差异</x:v>
      </x:c>
      <x:c r="G26" s="45" t="str">
        <x:v>Docker Compose、Dify；只在第35天开始搭</x:v>
      </x:c>
      <x:c r="H26" s="45" t="str">
        <x:v>模块视频Top5：Dify</x:v>
      </x:c>
      <x:c r="I26" s="45" t="str">
        <x:v>dify_compare_notes.md</x:v>
      </x:c>
    </x:row>
    <x:row r="27" ht="34.5" customHeight="1">
      <x:c r="A27" s="45" t="str">
        <x:v>8. Dify / Workflow 对照</x:v>
      </x:c>
      <x:c r="B27" s="45" t="str">
        <x:v>进阶篇</x:v>
      </x:c>
      <x:c r="C27" s="45" t="str">
        <x:v>1天</x:v>
      </x:c>
      <x:c r="D27" s="45" t="str">
        <x:v>第35-37天</x:v>
      </x:c>
      <x:c r="E27" s="45" t="str">
        <x:v>知识库配置、工作流节点、变量传递、API 发布</x:v>
      </x:c>
      <x:c r="F27" s="45" t="str">
        <x:v>能把代码版流程映射到 Dify 节点</x:v>
      </x:c>
      <x:c r="G27" s="45" t="str">
        <x:v>Docker Compose、Dify；只在第35天开始搭</x:v>
      </x:c>
      <x:c r="H27" s="45" t="str">
        <x:v>Dify Docs、Dify GitHub</x:v>
      </x:c>
      <x:c r="I27" s="45" t="str">
        <x:v>Dify workflow draft</x:v>
      </x:c>
    </x:row>
    <x:row r="28" ht="34.5" customHeight="1">
      <x:c r="A28" s="45" t="str">
        <x:v>8. Dify / Workflow 对照</x:v>
      </x:c>
      <x:c r="B28" s="45" t="str">
        <x:v>实战篇</x:v>
      </x:c>
      <x:c r="C28" s="45" t="str">
        <x:v>1天</x:v>
      </x:c>
      <x:c r="D28" s="45" t="str">
        <x:v>第35-37天</x:v>
      </x:c>
      <x:c r="E28" s="45" t="str">
        <x:v>用同一批文档做 Dify RAG，并和代码版输出做对照</x:v>
      </x:c>
      <x:c r="F28" s="45" t="str">
        <x:v>能用 Dify 快速复现知识库问答</x:v>
      </x:c>
      <x:c r="G28" s="45" t="str">
        <x:v>Docker Compose、Dify；只在第35天开始搭</x:v>
      </x:c>
      <x:c r="H28" s="45" t="str">
        <x:v>第35-37天主表</x:v>
      </x:c>
      <x:c r="I28" s="45" t="str">
        <x:v>Dify 应用 + 对照记录</x:v>
      </x:c>
    </x:row>
    <x:row r="29" ht="34.5" customHeight="1">
      <x:c r="A29" s="45" t="str">
        <x:v>9. Agent 工程 / OpenClaw / AI Coding / 毕业项目</x:v>
      </x:c>
      <x:c r="B29" s="45" t="str">
        <x:v>理论基础篇</x:v>
      </x:c>
      <x:c r="C29" s="45" t="str">
        <x:v>3天</x:v>
      </x:c>
      <x:c r="D29" s="45" t="str">
        <x:v>第38-50天</x:v>
      </x:c>
      <x:c r="E29" s="45" t="str">
        <x:v>理解 Agent 设计模式、产品化边界、AI Coding 上下文工程</x:v>
      </x:c>
      <x:c r="F29" s="45" t="str">
        <x:v>能拆分 planner/tool/memory/eval/safety</x:v>
      </x:c>
      <x:c r="G29" s="45" t="str">
        <x:v>LangGraph/RAG/Dify/MCP 按项目需要组合；OpenClaw 可只观察不安装</x:v>
      </x:c>
      <x:c r="H29" s="45" t="str">
        <x:v>Agent、OpenClaw、AI Coding Top5</x:v>
      </x:c>
      <x:c r="I29" s="45" t="str">
        <x:v>agent_architecture.md</x:v>
      </x:c>
    </x:row>
    <x:row r="30" ht="34.5" customHeight="1">
      <x:c r="A30" s="45" t="str">
        <x:v>9. Agent 工程 / OpenClaw / AI Coding / 毕业项目</x:v>
      </x:c>
      <x:c r="B30" s="45" t="str">
        <x:v>进阶篇</x:v>
      </x:c>
      <x:c r="C30" s="45" t="str">
        <x:v>4天</x:v>
      </x:c>
      <x:c r="D30" s="45" t="str">
        <x:v>第38-50天</x:v>
      </x:c>
      <x:c r="E30" s="45" t="str">
        <x:v>安全评估、日志、回归测试、README、演示脚本、成本控制</x:v>
      </x:c>
      <x:c r="F30" s="45" t="str">
        <x:v>能避免高风险工具默认执行</x:v>
      </x:c>
      <x:c r="G30" s="45" t="str">
        <x:v>LangGraph/RAG/Dify/MCP 按项目需要组合；OpenClaw 可只观察不安装</x:v>
      </x:c>
      <x:c r="H30" s="45" t="str">
        <x:v>Microsoft AI Agents、Claude Code/Cursor 文档</x:v>
      </x:c>
      <x:c r="I30" s="45" t="str">
        <x:v>eval_safety_report.md</x:v>
      </x:c>
    </x:row>
    <x:row r="31" ht="34.5" customHeight="1">
      <x:c r="A31" s="45" t="str">
        <x:v>9. Agent 工程 / OpenClaw / AI Coding / 毕业项目</x:v>
      </x:c>
      <x:c r="B31" s="45" t="str">
        <x:v>实战篇</x:v>
      </x:c>
      <x:c r="C31" s="45" t="str">
        <x:v>6天</x:v>
      </x:c>
      <x:c r="D31" s="45" t="str">
        <x:v>第38-50天</x:v>
      </x:c>
      <x:c r="E31" s="45" t="str">
        <x:v>完成毕业项目：知识库 + 工具 + Memory + 评估 + Dify 对照</x:v>
      </x:c>
      <x:c r="F31" s="45" t="str">
        <x:v>可演示 MVP，有验收标准和复盘</x:v>
      </x:c>
      <x:c r="G31" s="45" t="str">
        <x:v>LangGraph/RAG/Dify/MCP 按项目需要组合；OpenClaw 可只观察不安装</x:v>
      </x:c>
      <x:c r="H31" s="45" t="str">
        <x:v>第44-50天主表 + 项目验收页</x:v>
      </x:c>
      <x:c r="I31" s="45" t="str">
        <x:v>graduation_project_mvp</x:v>
      </x:c>
    </x:row>
    <x:row r="32">
      <x:c r="A32" s="45" t="str">
        <x:v>10. 微调认知 / 数据集 / 训练 / 评估</x:v>
      </x:c>
      <x:c r="B32" s="45" t="str">
        <x:v>理论基础篇</x:v>
      </x:c>
      <x:c r="C32" s="45" t="str">
        <x:v>2天</x:v>
      </x:c>
      <x:c r="D32" s="45" t="str">
        <x:v>第51-52天</x:v>
      </x:c>
      <x:c r="E32" s="45" t="str">
        <x:v>理解微调、SFT、LoRA、QLoRA 的真实用途和工程取舍</x:v>
      </x:c>
      <x:c r="F32" s="45" t="str">
        <x:v>能判断什么时候不该微调</x:v>
      </x:c>
      <x:c r="G32" s="45" t="str">
        <x:v>无需训练环境；笔记和文档优先</x:v>
      </x:c>
      <x:c r="H32" s="45" t="str">
        <x:v>PEFT、TRL、Unsloth、RAG vs Fine-tuning 资源</x:v>
      </x:c>
      <x:c r="I32" s="45" t="str">
        <x:v>notes/finetune_decision_basics.md</x:v>
      </x:c>
    </x:row>
    <x:row r="33">
      <x:c r="A33" s="45" t="str">
        <x:v>10. 微调认知 / 数据集 / 训练 / 评估</x:v>
      </x:c>
      <x:c r="B33" s="45" t="str">
        <x:v>进阶篇</x:v>
      </x:c>
      <x:c r="C33" s="45" t="str">
        <x:v>5天</x:v>
      </x:c>
      <x:c r="D33" s="45" t="str">
        <x:v>第53-57天</x:v>
      </x:c>
      <x:c r="E33" s="45" t="str">
        <x:v>构造指令数据、清洗数据、建立评估集、选择小模型和训练环境</x:v>
      </x:c>
      <x:c r="F33" s="45" t="str">
        <x:v>能准备一个可审计的小型微调实验</x:v>
      </x:c>
      <x:c r="G33" s="45" t="str">
        <x:v>Python、JSONL、Colab/Kaggle/云 GPU 可选</x:v>
      </x:c>
      <x:c r="H33" s="45" t="str">
        <x:v>Hugging Face Datasets、OpenAI Evals、Unsloth、PEFT</x:v>
      </x:c>
      <x:c r="I33" s="45" t="str">
        <x:v>data/finetune_samples.jsonl + evals/baseline</x:v>
      </x:c>
    </x:row>
    <x:row r="34">
      <x:c r="A34" s="45" t="str">
        <x:v>10. 微调认知 / 数据集 / 训练 / 评估</x:v>
      </x:c>
      <x:c r="B34" s="45" t="str">
        <x:v>实战篇</x:v>
      </x:c>
      <x:c r="C34" s="45" t="str">
        <x:v>8天</x:v>
      </x:c>
      <x:c r="D34" s="45" t="str">
        <x:v>第58-65天</x:v>
      </x:c>
      <x:c r="E34" s="45" t="str">
        <x:v>跑 LoRA dry-run、加载 adapter、做前后评估，并完成 RAG vs 微调决策</x:v>
      </x:c>
      <x:c r="F34" s="45" t="str">
        <x:v>能用证据判断微调是否有效</x:v>
      </x:c>
      <x:c r="G34" s="45" t="str">
        <x:v>云 GPU 可选；可用 dry-run 或替代方案</x:v>
      </x:c>
      <x:c r="H34" s="45" t="str">
        <x:v>TRL SFTTrainer、PEFT LoRA、lm-evaluation-harness</x:v>
      </x:c>
      <x:c r="I34" s="45" t="str">
        <x:v>lora_dry_run + finetune_compare</x:v>
      </x:c>
    </x:row>
    <x:row r="35">
      <x:c r="A35" s="45" t="str">
        <x:v>11. 微调工程化 / 综合复盘</x:v>
      </x:c>
      <x:c r="B35" s="45" t="str">
        <x:v>理论基础篇</x:v>
      </x:c>
      <x:c r="C35" s="45" t="str">
        <x:v>2天</x:v>
      </x:c>
      <x:c r="D35" s="45" t="str">
        <x:v>第66-67天</x:v>
      </x:c>
      <x:c r="E35" s="45" t="str">
        <x:v>模型卡、数据卡、实验版本、推理服务和部署成本</x:v>
      </x:c>
      <x:c r="F35" s="45" t="str">
        <x:v>能让微调实验可复现、可解释</x:v>
      </x:c>
      <x:c r="G35" s="45" t="str">
        <x:v>Git、experiments/、推理部署文档</x:v>
      </x:c>
      <x:c r="H35" s="45" t="str">
        <x:v>Model Card、Dataset Card、vLLM/llama.cpp/TGI 文档</x:v>
      </x:c>
      <x:c r="I35" s="45" t="str">
        <x:v>experiments/finetune_v1/README.md</x:v>
      </x:c>
    </x:row>
    <x:row r="36">
      <x:c r="A36" s="45" t="str">
        <x:v>11. 微调工程化 / 综合复盘</x:v>
      </x:c>
      <x:c r="B36" s="45" t="str">
        <x:v>进阶篇</x:v>
      </x:c>
      <x:c r="C36" s="45" t="str">
        <x:v>2天</x:v>
      </x:c>
      <x:c r="D36" s="45" t="str">
        <x:v>第68-69天</x:v>
      </x:c>
      <x:c r="E36" s="45" t="str">
        <x:v>把微调判断接入毕业项目，做微调 PoC 或证明不该微调</x:v>
      </x:c>
      <x:c r="F36" s="45" t="str">
        <x:v>能把技术选型落到项目证据</x:v>
      </x:c>
      <x:c r="G36" s="45" t="str">
        <x:v>前50天毕业项目、评估表、可选 GPU</x:v>
      </x:c>
      <x:c r="H36" s="45" t="str">
        <x:v>复用 Prompt/RAG/Tool/Memory/微调资源</x:v>
      </x:c>
      <x:c r="I36" s="45" t="str">
        <x:v>project_finetune_decision + PoC report</x:v>
      </x:c>
    </x:row>
    <x:row r="37">
      <x:c r="A37" s="45" t="str">
        <x:v>11. 微调工程化 / 综合复盘</x:v>
      </x:c>
      <x:c r="B37" s="45" t="str">
        <x:v>实战篇</x:v>
      </x:c>
      <x:c r="C37" s="45" t="str">
        <x:v>1天</x:v>
      </x:c>
      <x:c r="D37" s="45" t="str">
        <x:v>第70天</x:v>
      </x:c>
      <x:c r="E37" s="45" t="str">
        <x:v>整理 70 天输出物，形成自己的 AI Agent + 微调技术地图</x:v>
      </x:c>
      <x:c r="F37" s="45" t="str">
        <x:v>能规划下一阶段项目路线</x:v>
      </x:c>
      <x:c r="G37" s="45" t="str">
        <x:v>所有笔记、代码、评估表</x:v>
      </x:c>
      <x:c r="H37" s="45" t="str">
        <x:v>全表资源 + 项目验收</x:v>
      </x:c>
      <x:c r="I37" s="45" t="str">
        <x:v>notes/70_day_final_review.md</x:v>
      </x:c>
    </x:row>
  </x:sheetData>
  <x:mergeCells>
    <x:mergeCell ref="A26:A28"/>
    <x:mergeCell ref="D26:D28"/>
    <x:mergeCell ref="G26:G28"/>
    <x:mergeCell ref="A29:A31"/>
    <x:mergeCell ref="D29:D31"/>
    <x:mergeCell ref="G29:G31"/>
    <x:mergeCell ref="A20:A22"/>
    <x:mergeCell ref="D20:D22"/>
    <x:mergeCell ref="G20:G22"/>
    <x:mergeCell ref="A23:A25"/>
    <x:mergeCell ref="D23:D25"/>
    <x:mergeCell ref="G23:G25"/>
    <x:mergeCell ref="A14:A16"/>
    <x:mergeCell ref="D14:D16"/>
    <x:mergeCell ref="G14:G16"/>
    <x:mergeCell ref="A17:A19"/>
    <x:mergeCell ref="D17:D19"/>
    <x:mergeCell ref="G17:G19"/>
    <x:mergeCell ref="A8:A10"/>
    <x:mergeCell ref="D8:D10"/>
    <x:mergeCell ref="G8:G10"/>
    <x:mergeCell ref="A11:A13"/>
    <x:mergeCell ref="D11:D13"/>
    <x:mergeCell ref="G11:G13"/>
    <x:mergeCell ref="A2:A4"/>
    <x:mergeCell ref="D2:D4"/>
    <x:mergeCell ref="G2:G4"/>
    <x:mergeCell ref="A5:A7"/>
    <x:mergeCell ref="D5:D7"/>
    <x:mergeCell ref="G5:G7"/>
    <x:mergeCell ref="A32:A34"/>
    <x:mergeCell ref="D32:D34"/>
    <x:mergeCell ref="G32:G34"/>
    <x:mergeCell ref="A35:A37"/>
    <x:mergeCell ref="D35:D37"/>
    <x:mergeCell ref="G35:G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9.289999961853027" hidden="0" customWidth="1"/>
    <x:col min="2" max="2" width="16.43000030517578" hidden="0" customWidth="1"/>
    <x:col min="3" max="3" width="25" hidden="0" customWidth="1"/>
    <x:col min="4" max="4" width="35" hidden="0" customWidth="1"/>
    <x:col min="5" max="5" width="35" hidden="0" customWidth="1"/>
    <x:col min="6" max="6" width="107.86000061035156" hidden="0" customWidth="1"/>
    <x:col min="7" max="7" width="36.43000030517578" hidden="0" customWidth="1"/>
    <x:col min="8" max="8" width="55" hidden="0" customWidth="1"/>
    <x:col min="9" max="9" width="39.290000915527344" hidden="0" customWidth="1"/>
    <x:col min="10" max="10" width="27.860000610351562" hidden="0" customWidth="1"/>
    <x:col min="11" max="11" width="12.859999656677246" hidden="0" customWidth="1"/>
    <x:col min="12" max="12" width="60.709999084472656" hidden="0" customWidth="1"/>
  </x:cols>
  <x:sheetData>
    <x:row r="1" ht="25.5" customHeight="1">
      <x:c r="A1" s="52" t="str">
        <x:v>天数</x:v>
      </x:c>
      <x:c r="B1" s="52" t="str">
        <x:v>阶段</x:v>
      </x:c>
      <x:c r="C1" s="52" t="str">
        <x:v>主题</x:v>
      </x:c>
      <x:c r="D1" s="52" t="str">
        <x:v>环境依赖</x:v>
      </x:c>
      <x:c r="E1" s="52" t="str">
        <x:v>学习目标</x:v>
      </x:c>
      <x:c r="F1" s="52" t="str">
        <x:v>高价值资源</x:v>
      </x:c>
      <x:c r="G1" s="52" t="str">
        <x:v>资源跳转提示</x:v>
      </x:c>
      <x:c r="H1" s="52" t="str">
        <x:v>环境/实践步骤</x:v>
      </x:c>
      <x:c r="I1" s="52" t="str">
        <x:v>验收标准</x:v>
      </x:c>
      <x:c r="J1" s="52" t="str">
        <x:v>当天输出物</x:v>
      </x:c>
      <x:c r="K1" s="52" t="str">
        <x:v>状态</x:v>
      </x:c>
      <x:c r="L1" s="52" t="str">
        <x:v>练习指导 / 卡住怎么办</x:v>
      </x:c>
    </x:row>
    <x:row r="2" ht="142.5" customHeight="1">
      <x:c r="A2" s="45" t="str">
        <x:v>第1天</x:v>
      </x:c>
      <x:c r="B2" s="45" t="str">
        <x:v>最小环境</x:v>
      </x:c>
      <x:c r="C2" s="45" t="str">
        <x:v>学习仓库与基础环境</x:v>
      </x:c>
      <x:c r="D2" s="45" t="str">
        <x:v>Python 3.11+、Git、VS Code、uv/pip；不用 Docker/Dify/RAG</x:v>
      </x:c>
      <x:c r="E2" s="45" t="str">
        <x:v>只搭最小开发环境，后续工具用到再搭</x:v>
      </x:c>
      <x:c r="F2" s="45" t="str">
        <x:v>视频资源：
无必看视频，优先读文档/跑示例
文档 / GitHub / 工具资源：
1、GitHub Skills：https://skills.github.com/
2、Python：https://www.python.org/downloads/
3、Git：https://git-scm.com/downloads
4、VS Code：https://code.visualstudio.com/
5、uv：https://docs.astral.sh/uv/
资源对比说明：
完整播放/点赞/投币/收藏对比见「模块视频Top5」页。</x:v>
      </x:c>
      <x:c r="G2" s="45" t="str">
        <x:v>以文档/环境搭建为主；无必要视频。</x:v>
      </x:c>
      <x:c r="H2" s="45" t="str">
        <x:v>1、安装/确认 Python、Git、VS Code
2、创建 ai-agent-learning 仓库
3、建立 demos/ notes/ evals/ data/ 四个目录
4、创建 README.md、.env.example、.gitignore
5、提交第一次 commit</x:v>
      </x:c>
      <x:c r="I2" s="45" t="str">
        <x:v>能提交第一次 commit；README 写明目录用途</x:v>
      </x:c>
      <x:c r="J2" s="45" t="str">
        <x:v>repo + README.md</x:v>
      </x:c>
      <x:c r="K2" s="45" t="str">
        <x:v>未开始</x:v>
      </x:c>
      <x:c r="L2" s="45" t="str">
        <x:v>最小完成：只要能跑通验证命令即可，不追求完美配置。
卡住检查：版本号、路径、环境变量、网络代理、终端是否重启。
降级方案：截图/记录报错，写入 notes/troubleshooting.md，当天仍可继续看概念课。
求助时带：系统版本、命令、完整报错、你已经试过的步骤。</x:v>
      </x:c>
    </x:row>
    <x:row r="3" ht="142.5" customHeight="1">
      <x:c r="A3" s="45" t="str">
        <x:v>第2天</x:v>
      </x:c>
      <x:c r="B3" s="45" t="str">
        <x:v>最小环境</x:v>
      </x:c>
      <x:c r="C3" s="45" t="str">
        <x:v>DeepSeek API 最小调用</x:v>
      </x:c>
      <x:c r="D3" s="45" t="str">
        <x:v>DEEPSEEK_API_KEY、MODEL_NAME=deepseek-v4-flash、BASE_URL=https://api.deepseek.com</x:v>
      </x:c>
      <x:c r="E3" s="45" t="str">
        <x:v>先用低成本模型跑通调用，不接复杂框架</x:v>
      </x:c>
      <x:c r="F3" s="45" t="str">
        <x:v>视频资源：
无必看视频，优先读文档/跑示例
文档 / GitHub / 工具资源：
1、DeepSeek API Docs：https://api-docs.deepseek.com/
2、DeepSeek Pricing：https://api-docs.deepseek.com/quick_start/pricing/
3、DeepSeek List Models：https://api-docs.deepseek.com/zh-cn/api/list-models/
资源对比说明：
完整播放/点赞/投币/收藏对比见「模块视频Top5」页。</x:v>
      </x:c>
      <x:c r="G3" s="45" t="str">
        <x:v>以文档/环境搭建为主；无必要视频。</x:v>
      </x:c>
      <x:c r="H3" s="45" t="str">
        <x:v>1、准备 DeepSeek API Key
2、配置 .env
3、写最小 API 调用脚本
4、限制 max_tokens 并打印错误日志
5、确认 .env 不进入 Git</x:v>
      </x:c>
      <x:c r="I3" s="45" t="str">
        <x:v>脚本可运行；key 不泄露；错误能看懂</x:v>
      </x:c>
      <x:c r="J3" s="45" t="str">
        <x:v>demos/00_api_smoke_test.py</x:v>
      </x:c>
      <x:c r="K3" s="45" t="str">
        <x:v>未开始</x:v>
      </x:c>
      <x:c r="L3" s="45" t="str">
        <x:v>最小完成：发出一次请求并打印模型回复。
卡住检查：API key 是否生效、BASE_URL 是否为 https://api.deepseek.com、MODEL_NAME 是否 deepseek-v4-flash、余额/限流。
降级方案：先用伪响应 JSON 写后续代码，把真实 API 调通留到第二天。
求助时带：请求代码、去掉 key 的环境变量、HTTP 状态码和错误体。</x:v>
      </x:c>
    </x:row>
    <x:row r="4" ht="142.5" customHeight="1">
      <x:c r="A4" s="45" t="str">
        <x:v>第3天</x:v>
      </x:c>
      <x:c r="B4" s="45" t="str">
        <x:v>第一阶段</x:v>
      </x:c>
      <x:c r="C4" s="45" t="str">
        <x:v>本地学习目录与日志</x:v>
      </x:c>
      <x:c r="D4" s="45" t="str">
        <x:v>data/、notes/、evals/、demos/；不需要 Docker</x:v>
      </x:c>
      <x:c r="E4" s="45" t="str">
        <x:v>为后续 prompt、tool、RAG 准备可复用目录</x:v>
      </x:c>
      <x:c r="F4" s="45" t="str">
        <x:v>视频资源：
无必看视频，优先读文档/跑示例
文档 / GitHub / 工具资源：
1、GitHub Skills：https://skills.github.com/
2、Python：https://www.python.org/downloads/
3、Git：https://git-scm.com/downloads
4、VS Code：https://code.visualstudio.com/
5、uv：https://docs.astral.sh/uv/
资源对比说明：
完整播放/点赞/投币/收藏对比见「模块视频Top5」页。</x:v>
      </x:c>
      <x:c r="G4" s="45" t="str">
        <x:v>以文档/环境搭建为主；无必要视频。</x:v>
      </x:c>
      <x:c r="H4" s="45" t="str">
        <x:v>1、在 data/ 放 3 个测试文本
2、在 notes/ 建 daily-log.md
3、在 evals/ 建 prompt_eval 模板
4、写清每天输出物命名规则
5、记录学习问题清单</x:v>
      </x:c>
      <x:c r="I4" s="45" t="str">
        <x:v>目录清楚；每天输出物有固定位置</x:v>
      </x:c>
      <x:c r="J4" s="45" t="str">
        <x:v>notes/daily-log.md</x:v>
      </x:c>
      <x:c r="K4" s="45" t="str">
        <x:v>未开始</x:v>
      </x:c>
      <x:c r="L4" s="45" t="str">
        <x:v>最小完成：建好目录和 daily-log.md。
卡住检查：不要纠结目录完美，先保证 demos/ notes/ evals/ data/ 四个目录存在。
降级方案：用一个 markdown 文件记录所有内容，之后再拆分。
求助时带：你当前目录截图或 tree 输出。</x:v>
      </x:c>
    </x:row>
    <x:row r="5" ht="142.5" customHeight="1">
      <x:c r="A5" s="45" t="str">
        <x:v>第4天</x:v>
      </x:c>
      <x:c r="B5" s="45" t="str">
        <x:v>第一阶段</x:v>
      </x:c>
      <x:c r="C5" s="45" t="str">
        <x:v>Prompt Engineering</x:v>
      </x:c>
      <x:c r="D5" s="45" t="str">
        <x:v>DeepSeek API；本地 notes/</x:v>
      </x:c>
      <x:c r="E5" s="45" t="str">
        <x:v>理解 prompt 是控制模型行为的接口</x:v>
      </x:c>
      <x:c r="F5" s="45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G5" s="45" t="str">
        <x:v>主表已嵌入 Top5；完整指标见「模块视频Top5」页：Prompt Engineering</x:v>
      </x:c>
      <x:c r="H5" s="45" t="str">
        <x:v>1、看 1 个 prompt 视频
2、写 3 个 system prompt：老师、代码审查、信息抽取
3、用 deepseek-v4-flash 跑同一个任务
4、对比输出差异
5、记录哪些约束真正影响结果</x:v>
      </x:c>
      <x:c r="I5" s="45" t="str">
        <x:v>能解释 role、context、constraints、format 的作用</x:v>
      </x:c>
      <x:c r="J5" s="45" t="str">
        <x:v>notes/prompt_patterns.md</x:v>
      </x:c>
      <x:c r="K5" s="45" t="str">
        <x:v>未开始</x:v>
      </x:c>
      <x:c r="L5" s="45" t="str">
        <x:v>最小完成：写 1 个 system prompt，并用同一输入跑 2 次。
标准完成：写 3 个 prompt，对比输出差异。
卡住检查：任务是否太大、输出格式是否明确、是否给了反例或示例。
降级方案：先只控制输出格式，不控制复杂行为。
复盘问题：哪一句 prompt 真正改变了输出？</x:v>
      </x:c>
    </x:row>
    <x:row r="6" ht="142.5" customHeight="1">
      <x:c r="A6" s="45" t="str">
        <x:v>第5天</x:v>
      </x:c>
      <x:c r="B6" s="45" t="str">
        <x:v>第一阶段</x:v>
      </x:c>
      <x:c r="C6" s="45" t="str">
        <x:v>Few-shot / ReAct</x:v>
      </x:c>
      <x:c r="D6" s="45" t="str">
        <x:v>DeepSeek API；notes/</x:v>
      </x:c>
      <x:c r="E6" s="45" t="str">
        <x:v>掌握示例、推理提示、工具思维的边界</x:v>
      </x:c>
      <x:c r="F6" s="45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G6" s="45" t="str">
        <x:v>主表已嵌入 Top5；完整指标见「模块视频Top5」页：Prompt Engineering</x:v>
      </x:c>
      <x:c r="H6" s="45" t="str">
        <x:v>1、读 Anthropic prompt 文档
2、写 zero-shot 和 few-shot 分类器
3、写 ReAct 风格伪流程
4、避免要求模型输出长推理链
5、记录示例数量对输出的影响</x:v>
      </x:c>
      <x:c r="I6" s="45" t="str">
        <x:v>知道什么时候用示例，什么时候用 schema</x:v>
      </x:c>
      <x:c r="J6" s="45" t="str">
        <x:v>demos/01_few_shot_lab.py</x:v>
      </x:c>
      <x:c r="K6" s="45" t="str">
        <x:v>未开始</x:v>
      </x:c>
      <x:c r="L6" s="45" t="str">
        <x:v>最小完成：写 1 个 system prompt，并用同一输入跑 2 次。
标准完成：写 3 个 prompt，对比输出差异。
卡住检查：任务是否太大、输出格式是否明确、是否给了反例或示例。
降级方案：先只控制输出格式，不控制复杂行为。
复盘问题：哪一句 prompt 真正改变了输出？</x:v>
      </x:c>
    </x:row>
    <x:row r="7" ht="142.5" customHeight="1">
      <x:c r="A7" s="45" t="str">
        <x:v>第6天</x:v>
      </x:c>
      <x:c r="B7" s="45" t="str">
        <x:v>第一阶段</x:v>
      </x:c>
      <x:c r="C7" s="45" t="str">
        <x:v>Structured Output</x:v>
      </x:c>
      <x:c r="D7" s="45" t="str">
        <x:v>DeepSeek API、Pydantic</x:v>
      </x:c>
      <x:c r="E7" s="45" t="str">
        <x:v>让模型输出可被程序稳定消费的数据</x:v>
      </x:c>
      <x:c r="F7" s="45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G7" s="45" t="str">
        <x:v>主表已嵌入 Top5；完整指标见「模块视频Top5」页：Prompt Engineering</x:v>
      </x:c>
      <x:c r="H7" s="45" t="str">
        <x:v>1、安装/确认 Pydantic
2、定义 Task/Priority/DueDate schema
3、调用模型输出 JSON
4、用 Pydantic 校验
5、失败时给出重试或错误说明</x:v>
      </x:c>
      <x:c r="I7" s="45" t="str">
        <x:v>输出稳定解析；失败可处理</x:v>
      </x:c>
      <x:c r="J7" s="45" t="str">
        <x:v>demos/02_structured_output.py</x:v>
      </x:c>
      <x:c r="K7" s="45" t="str">
        <x:v>未开始</x:v>
      </x:c>
      <x:c r="L7" s="45" t="str">
        <x:v>最小完成：让模型输出一个能被 json.loads 解析的 JSON。
标准完成：用 Pydantic 校验，并处理失败。
卡住检查：schema 是否过复杂、字段是否有歧义、是否要求模型输出额外解释。
降级方案：先减少到 3 个字段，再逐步加字段。
复盘问题：哪些字段最容易错？为什么？</x:v>
      </x:c>
    </x:row>
    <x:row r="8" ht="142.5" customHeight="1">
      <x:c r="A8" s="45" t="str">
        <x:v>第7天</x:v>
      </x:c>
      <x:c r="B8" s="45" t="str">
        <x:v>第一阶段</x:v>
      </x:c>
      <x:c r="C8" s="45" t="str">
        <x:v>Prompt Eval</x:v>
      </x:c>
      <x:c r="D8" s="45" t="str">
        <x:v>DeepSeek API、evals/</x:v>
      </x:c>
      <x:c r="E8" s="45" t="str">
        <x:v>用测试集判断 prompt 质量</x:v>
      </x:c>
      <x:c r="F8" s="45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G8" s="45" t="str">
        <x:v>主表已嵌入 Top5；完整指标见「模块视频Top5」页：Prompt Engineering</x:v>
      </x:c>
      <x:c r="H8" s="45" t="str">
        <x:v>1、准备 10 条测试输入
2、对比两个 prompt 版本
3、记录正确率、格式错误、幻觉、遗漏
4、选出更稳定版本
5、把结论写入 daily-log</x:v>
      </x:c>
      <x:c r="I8" s="45" t="str">
        <x:v>不是凭感觉改 prompt，而是有小 eval</x:v>
      </x:c>
      <x:c r="J8" s="45" t="str">
        <x:v>evals/prompt_eval.xlsx</x:v>
      </x:c>
      <x:c r="K8" s="45" t="str">
        <x:v>未开始</x:v>
      </x:c>
      <x:c r="L8" s="45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</x:v>
      </x:c>
    </x:row>
    <x:row r="9" ht="142.5" customHeight="1">
      <x:c r="A9" s="45" t="str">
        <x:v>第8天</x:v>
      </x:c>
      <x:c r="B9" s="45" t="str">
        <x:v>第一阶段</x:v>
      </x:c>
      <x:c r="C9" s="45" t="str">
        <x:v>LLM 基础</x:v>
      </x:c>
      <x:c r="D9" s="45" t="str">
        <x:v>笔记环境即可</x:v>
      </x:c>
      <x:c r="E9" s="45" t="str">
        <x:v>理解 token、context、attention、embedding</x:v>
      </x:c>
      <x:c r="F9" s="45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G9" s="45" t="str">
        <x:v>主表已嵌入 Top5；完整指标见「模块视频Top5」页：LLM基础 / 注意力机制</x:v>
      </x:c>
      <x:c r="H9" s="45" t="str">
        <x:v>1、看 Transformer/Attention 内容
2、画 LLM 工作流程图
3、估算 3 段文本 token 成本
4、写 context window 的限制
5、总结 inference 与训练的区别</x:v>
      </x:c>
      <x:c r="I9" s="45" t="str">
        <x:v>能用自己的话解释基础概念</x:v>
      </x:c>
      <x:c r="J9" s="45" t="str">
        <x:v>notes/llm_basics.md</x:v>
      </x:c>
      <x:c r="K9" s="45" t="str">
        <x:v>未开始</x:v>
      </x:c>
      <x:c r="L9" s="45" t="str">
        <x:v>最小完成：能用自己的话解释 3 个概念。
标准完成：画一张关系图并写例子。
卡住检查：不要深挖数学，先理解输入、上下文、注意力、生成的流程。
降级方案：把不懂的术语写成问题列表，后续遇到再回填。
复盘问题：这个概念会影响我写 prompt 或 RAG 的哪个决策？</x:v>
      </x:c>
    </x:row>
    <x:row r="10" ht="142.5" customHeight="1">
      <x:c r="A10" s="45" t="str">
        <x:v>第9天</x:v>
      </x:c>
      <x:c r="B10" s="45" t="str">
        <x:v>第一阶段</x:v>
      </x:c>
      <x:c r="C10" s="45" t="str">
        <x:v>Embedding 入门</x:v>
      </x:c>
      <x:c r="D10" s="45" t="str">
        <x:v>DeepSeek/OpenAI 兼容 embedding 或先写伪代码；不急着上向量库</x:v>
      </x:c>
      <x:c r="E10" s="45" t="str">
        <x:v>先理解 embedding，再到 RAG 前搭向量库</x:v>
      </x:c>
      <x:c r="F10" s="45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G10" s="45" t="str">
        <x:v>主表已嵌入 Top5；完整指标见「模块视频Top5」页：LLM基础 / 注意力机制</x:v>
      </x:c>
      <x:c r="H10" s="45" t="str">
        <x:v>1、准备 20 条短文本
2、生成或模拟 embedding
3、用相似度找最相关文本
4、记录相似但不等于正确的案例
5、写出 embedding 的适用边界</x:v>
      </x:c>
      <x:c r="I10" s="45" t="str">
        <x:v>能解释 embedding 如何服务检索</x:v>
      </x:c>
      <x:c r="J10" s="45" t="str">
        <x:v>demos/03_embedding_search.py</x:v>
      </x:c>
      <x:c r="K10" s="45" t="str">
        <x:v>未开始</x:v>
      </x:c>
      <x:c r="L10" s="45" t="str">
        <x:v>最小完成：能用自己的话解释 3 个概念。
标准完成：画一张关系图并写例子。
卡住检查：不要深挖数学，先理解输入、上下文、注意力、生成的流程。
降级方案：把不懂的术语写成问题列表，后续遇到再回填。
复盘问题：这个概念会影响我写 prompt 或 RAG 的哪个决策？</x:v>
      </x:c>
    </x:row>
    <x:row r="11" ht="142.5" customHeight="1">
      <x:c r="A11" s="45" t="str">
        <x:v>第10天</x:v>
      </x:c>
      <x:c r="B11" s="45" t="str">
        <x:v>第一阶段</x:v>
      </x:c>
      <x:c r="C11" s="45" t="str">
        <x:v>阶段复盘</x:v>
      </x:c>
      <x:c r="D11" s="45" t="str">
        <x:v>前面所有轻量环境</x:v>
      </x:c>
      <x:c r="E11" s="45" t="str">
        <x:v>把 Prompt、结构化输出、LLM 基础串起来</x:v>
      </x:c>
      <x:c r="F11" s="45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G11" s="45" t="str">
        <x:v>主表已嵌入 Top5；完整指标见「模块视频Top5」页：Prompt Engineering / LLM基础 / 注意力机制</x:v>
      </x:c>
      <x:c r="H11" s="45" t="str">
        <x:v>1、整理第4-9天笔记
2、画控制模型输出的关系图
3、列出 5 个未理解问题
4、更新 README 学习进度
5、决定下一阶段工具练习目标</x:v>
      </x:c>
      <x:c r="I11" s="45" t="str">
        <x:v>形成自己的 LLM 控制模型</x:v>
      </x:c>
      <x:c r="J11" s="45" t="str">
        <x:v>notes/stage1_review.md</x:v>
      </x:c>
      <x:c r="K11" s="45" t="str">
        <x:v>未开始</x:v>
      </x:c>
      <x:c r="L11" s="45" t="str">
        <x:v>最小完成：整理 3 条最重要结论。
标准完成：把第4-9天内容串成一张图。
卡住检查：不要试图一次讲完整 LLM，只讲“如何控制输出”。
降级方案：只写问题清单也算有效复盘。
复盘问题：下一阶段做工具调用时，哪些概念会直接用上？</x:v>
      </x:c>
    </x:row>
    <x:row r="12" ht="142.5" customHeight="1">
      <x:c r="A12" s="45" t="str">
        <x:v>第11天</x:v>
      </x:c>
      <x:c r="B12" s="45" t="str">
        <x:v>第二阶段</x:v>
      </x:c>
      <x:c r="C12" s="45" t="str">
        <x:v>Function Calling 概念</x:v>
      </x:c>
      <x:c r="D12" s="45" t="str">
        <x:v>DeepSeek API、Pydantic/jsonschema；用到前再装</x:v>
      </x:c>
      <x:c r="E12" s="45" t="str">
        <x:v>理解 tool/function/schema/call/result 链路</x:v>
      </x:c>
      <x:c r="F12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12" s="45" t="str">
        <x:v>主表已嵌入 Top5；完整指标见「模块视频Top5」页：Function Calling / Tool Calling</x:v>
      </x:c>
      <x:c r="H12" s="45" t="str">
        <x:v>1、安装/确认 Pydantic 或 jsonschema
2、读 Function Calling 文档
3、手写 get_weather schema
4、画模型调用工具时序图
5、记录模型和程序的职责分界</x:v>
      </x:c>
      <x:c r="I12" s="45" t="str">
        <x:v>知道模型决定调用，程序负责执行</x:v>
      </x:c>
      <x:c r="J12" s="45" t="str">
        <x:v>notes/tool_call_flow.md</x:v>
      </x:c>
      <x:c r="K12" s="45" t="str">
        <x:v>未开始</x:v>
      </x:c>
      <x:c r="L12" s="45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3" ht="142.5" customHeight="1">
      <x:c r="A13" s="45" t="str">
        <x:v>第12天</x:v>
      </x:c>
      <x:c r="B13" s="45" t="str">
        <x:v>第二阶段</x:v>
      </x:c>
      <x:c r="C13" s="45" t="str">
        <x:v>文件工具</x:v>
      </x:c>
      <x:c r="D13" s="45" t="str">
        <x:v>Python、data/ 测试文件</x:v>
      </x:c>
      <x:c r="E13" s="45" t="str">
        <x:v>做第一个安全本地工具</x:v>
      </x:c>
      <x:c r="F13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13" s="45" t="str">
        <x:v>主表已嵌入 Top5；完整指标见「模块视频Top5」页：Function Calling / Tool Calling</x:v>
      </x:c>
      <x:c r="H13" s="45" t="str">
        <x:v>1、定义 read_file(path) schema
2、限制只能读取 data/ 目录
3、让模型决定何时调用
4、处理路径不存在错误
5、记录调用日志</x:v>
      </x:c>
      <x:c r="I13" s="45" t="str">
        <x:v>模型能通过工具读取并总结文件</x:v>
      </x:c>
      <x:c r="J13" s="45" t="str">
        <x:v>demos/04_file_tool.py</x:v>
      </x:c>
      <x:c r="K13" s="45" t="str">
        <x:v>未开始</x:v>
      </x:c>
      <x:c r="L13" s="45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4" ht="142.5" customHeight="1">
      <x:c r="A14" s="45" t="str">
        <x:v>第13天</x:v>
      </x:c>
      <x:c r="B14" s="45" t="str">
        <x:v>第二阶段</x:v>
      </x:c>
      <x:c r="C14" s="45" t="str">
        <x:v>SQL 工具</x:v>
      </x:c>
      <x:c r="D14" s="45" t="str">
        <x:v>SQLite、本地 demo 数据库；今天再创建</x:v>
      </x:c>
      <x:c r="E14" s="45" t="str">
        <x:v>做一个只读数据查询工具</x:v>
      </x:c>
      <x:c r="F14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14" s="45" t="str">
        <x:v>主表已嵌入 Top5；完整指标见「模块视频Top5」页：Function Calling / Tool Calling</x:v>
      </x:c>
      <x:c r="H14" s="45" t="str">
        <x:v>1、准备 SQLite demo 数据库
2、定义只读查询工具
3、禁止写入/删除语句
4、让模型查询并解释结果
5、记录 SQL 和自然语言答案</x:v>
      </x:c>
      <x:c r="I14" s="45" t="str">
        <x:v>能完成自然语言到安全查询闭环</x:v>
      </x:c>
      <x:c r="J14" s="45" t="str">
        <x:v>demos/05_sql_tool.py</x:v>
      </x:c>
      <x:c r="K14" s="45" t="str">
        <x:v>未开始</x:v>
      </x:c>
      <x:c r="L14" s="45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5" ht="142.5" customHeight="1">
      <x:c r="A15" s="45" t="str">
        <x:v>第14天</x:v>
      </x:c>
      <x:c r="B15" s="45" t="str">
        <x:v>第二阶段</x:v>
      </x:c>
      <x:c r="C15" s="45" t="str">
        <x:v>工具安全</x:v>
      </x:c>
      <x:c r="D15" s="45" t="str">
        <x:v>工具日志、allowlist</x:v>
      </x:c>
      <x:c r="E15" s="45" t="str">
        <x:v>给强工具加边界</x:v>
      </x:c>
      <x:c r="F15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15" s="45" t="str">
        <x:v>主表已嵌入 Top5；完整指标见「模块视频Top5」页：Function Calling / Tool Calling</x:v>
      </x:c>
      <x:c r="H15" s="45" t="str">
        <x:v>1、列出 shell/browser/file/sql 风险
2、设计 allowlist 和人工确认规则
3、给工具调用加日志
4、写 5 个拒绝案例
5、总结高风险工具原则</x:v>
      </x:c>
      <x:c r="I15" s="45" t="str">
        <x:v>高风险操作不会默认执行</x:v>
      </x:c>
      <x:c r="J15" s="45" t="str">
        <x:v>notes/tool_safety.md</x:v>
      </x:c>
      <x:c r="K15" s="45" t="str">
        <x:v>未开始</x:v>
      </x:c>
      <x:c r="L15" s="45" t="str">
        <x:v>最小完成：写出 5 个危险操作。
标准完成：为每个危险操作设计 allowlist 或人工确认。
卡住检查：问自己“这个工具会不会改文件、花钱、泄露数据”。
降级方案：只写安全设计，不写代码也可以。
复盘问题：你的工具默认是安全失败，还是危险成功？</x:v>
      </x:c>
    </x:row>
    <x:row r="16" ht="142.5" customHeight="1">
      <x:c r="A16" s="45" t="str">
        <x:v>第15天</x:v>
      </x:c>
      <x:c r="B16" s="45" t="str">
        <x:v>MCP 环境</x:v>
      </x:c>
      <x:c r="C16" s="45" t="str">
        <x:v>MCP SDK 搭建</x:v>
      </x:c>
      <x:c r="D16" s="45" t="str">
        <x:v>MCP Python SDK；今天第一次搭</x:v>
      </x:c>
      <x:c r="E16" s="45" t="str">
        <x:v>把本地工具标准化为 MCP server</x:v>
      </x:c>
      <x:c r="F16" s="45" t="str">
        <x:v>视频资源：
1、MCP Server开发零基础教程：基于 Java 代码开发 MCP 服务端：https://www.bilibili.com/video/BV1aDVhzdE6S
   选择建议：优先看；可信度：搜索摘要-指标较全；热度分：34312
2、Cursor + MCP = 王炸！彻底颠覆 Cursor 工作流：https://www.bilibili.com/video/BV1eYPpeWEnT
   选择建议：优先看；可信度：搜索摘要-指标较全；热度分：15219
3、Cursor 和 MCP 简直绝配！保姆级教程：https://www.bilibili.com/video/BV1vHVuzTEiV
   选择建议：备选/换讲法；可信度：搜索摘要-指标较全；热度分：5712
4、看 MCP Server 代码，了解大模型跟 MCP 如何协同：https://www.bilibili.com/video/BV11MEHzwEp6
   选择建议：备选/换讲法；可信度：搜索摘要-指标较全；热度分：1795
5、26分钟掌握模型上下文协议 MCP 的秘密与实战指南：https://www.bilibili.com/video/BV1tPs6zuEMX
   选择建议：备选/换讲法；可信度：搜索摘要-指标较全；热度分：42
文档 / GitHub / 工具资源：
1、MCP 官方文档：https://modelcontextprotocol.io/
2、MCP Python SDK：https://github.com/modelcontextprotocol/python-sdk
3、MCP TypeScript SDK：https://github.com/modelcontextprotocol/typescript-sdk
资源对比说明：
完整播放/点赞/投币/收藏对比见「模块视频Top5」页。</x:v>
      </x:c>
      <x:c r="G16" s="45" t="str">
        <x:v>主表已嵌入 Top5；完整指标见「模块视频Top5」页：MCP / Function Calling / Tool Calling</x:v>
      </x:c>
      <x:c r="H16" s="45" t="str">
        <x:v>1、安装 MCP Python SDK
2、跑通 hello MCP server
3、阅读 SDK 示例
4、记录客户端发现工具的流程
5、写安装坑点</x:v>
      </x:c>
      <x:c r="I16" s="45" t="str">
        <x:v>hello MCP server 能启动</x:v>
      </x:c>
      <x:c r="J16" s="45" t="str">
        <x:v>demos/06_mcp_hello.py</x:v>
      </x:c>
      <x:c r="K16" s="45" t="str">
        <x:v>未开始</x:v>
      </x:c>
      <x:c r="L16" s="45" t="str">
        <x:v>最小完成：hello MCP server 能启动。
标准完成：把已有 file tool 改成 MCP tool。
卡住检查：SDK 版本、启动命令、客户端配置、工具名称是否暴露。
降级方案：先阅读官方示例并写流程图，不急着接入复杂客户端。
求助时带：server 代码、启动命令、客户端配置、日志。</x:v>
      </x:c>
    </x:row>
    <x:row r="17" ht="142.5" customHeight="1">
      <x:c r="A17" s="45" t="str">
        <x:v>第16天</x:v>
      </x:c>
      <x:c r="B17" s="45" t="str">
        <x:v>MCP 环境</x:v>
      </x:c>
      <x:c r="C17" s="45" t="str">
        <x:v>文件 MCP 工具</x:v>
      </x:c>
      <x:c r="D17" s="45" t="str">
        <x:v>MCP SDK、data/</x:v>
      </x:c>
      <x:c r="E17" s="45" t="str">
        <x:v>把 read_file 改成 MCP tool</x:v>
      </x:c>
      <x:c r="F17" s="45" t="str">
        <x:v>视频资源：
1、MCP Server开发零基础教程：基于 Java 代码开发 MCP 服务端：https://www.bilibili.com/video/BV1aDVhzdE6S
   选择建议：优先看；可信度：搜索摘要-指标较全；热度分：34312
2、Cursor + MCP = 王炸！彻底颠覆 Cursor 工作流：https://www.bilibili.com/video/BV1eYPpeWEnT
   选择建议：优先看；可信度：搜索摘要-指标较全；热度分：15219
3、Cursor 和 MCP 简直绝配！保姆级教程：https://www.bilibili.com/video/BV1vHVuzTEiV
   选择建议：备选/换讲法；可信度：搜索摘要-指标较全；热度分：5712
4、看 MCP Server 代码，了解大模型跟 MCP 如何协同：https://www.bilibili.com/video/BV11MEHzwEp6
   选择建议：备选/换讲法；可信度：搜索摘要-指标较全；热度分：1795
5、26分钟掌握模型上下文协议 MCP 的秘密与实战指南：https://www.bilibili.com/video/BV1tPs6zuEMX
   选择建议：备选/换讲法；可信度：搜索摘要-指标较全；热度分：42
文档 / GitHub / 工具资源：
1、MCP 官方文档：https://modelcontextprotocol.io/
2、MCP Python SDK：https://github.com/modelcontextprotocol/python-sdk
3、MCP TypeScript SDK：https://github.com/modelcontextprotocol/typescript-sdk
资源对比说明：
完整播放/点赞/投币/收藏对比见「模块视频Top5」页。</x:v>
      </x:c>
      <x:c r="G17" s="45" t="str">
        <x:v>主表已嵌入 Top5；完整指标见「模块视频Top5」页：MCP / Function Calling / Tool Calling</x:v>
      </x:c>
      <x:c r="H17" s="45" t="str">
        <x:v>1、复用第12天 read_file
2、改造成 MCP tool
3、补 schema 和错误处理
4、写使用说明
5、测试正常和异常路径</x:v>
      </x:c>
      <x:c r="I17" s="45" t="str">
        <x:v>MCP tool 能被发现和调用</x:v>
      </x:c>
      <x:c r="J17" s="45" t="str">
        <x:v>demos/07_file_mcp_server.py</x:v>
      </x:c>
      <x:c r="K17" s="45" t="str">
        <x:v>未开始</x:v>
      </x:c>
      <x:c r="L17" s="45" t="str">
        <x:v>最小完成：hello MCP server 能启动。
标准完成：把已有 file tool 改成 MCP tool。
卡住检查：SDK 版本、启动命令、客户端配置、工具名称是否暴露。
降级方案：先阅读官方示例并写流程图，不急着接入复杂客户端。
求助时带：server 代码、启动命令、客户端配置、日志。</x:v>
      </x:c>
    </x:row>
    <x:row r="18" ht="142.5" customHeight="1">
      <x:c r="A18" s="45" t="str">
        <x:v>第17天</x:v>
      </x:c>
      <x:c r="B18" s="45" t="str">
        <x:v>MCP 环境</x:v>
      </x:c>
      <x:c r="C18" s="45" t="str">
        <x:v>多工具编排</x:v>
      </x:c>
      <x:c r="D18" s="45" t="str">
        <x:v>File/SQL/MCP；不需要 LangGraph</x:v>
      </x:c>
      <x:c r="E18" s="45" t="str">
        <x:v>让 agent 在多个工具间选择</x:v>
      </x:c>
      <x:c r="F18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18" s="45" t="str">
        <x:v>主表已嵌入 Top5；完整指标见「模块视频Top5」页：Function Calling / Tool Calling</x:v>
      </x:c>
      <x:c r="H18" s="45" t="str">
        <x:v>1、准备 file、sql 两个工具
2、设计一个需要两步查询的任务
3、记录每次工具调用日志
4、加入失败重试
5、复盘工具选择是否合理</x:v>
      </x:c>
      <x:c r="I18" s="45" t="str">
        <x:v>多工具任务可复现、可观察</x:v>
      </x:c>
      <x:c r="J18" s="45" t="str">
        <x:v>demos/08_tool_orchestration.py</x:v>
      </x:c>
      <x:c r="K18" s="45" t="str">
        <x:v>未开始</x:v>
      </x:c>
      <x:c r="L18" s="45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9" ht="142.5" customHeight="1">
      <x:c r="A19" s="45" t="str">
        <x:v>第18天</x:v>
      </x:c>
      <x:c r="B19" s="45" t="str">
        <x:v>LangGraph 环境</x:v>
      </x:c>
      <x:c r="C19" s="45" t="str">
        <x:v>LangGraph 搭建</x:v>
      </x:c>
      <x:c r="D19" s="45" t="str">
        <x:v>LangGraph；今天第一次安装</x:v>
      </x:c>
      <x:c r="E19" s="45" t="str">
        <x:v>理解 state/node/edge/workflow</x:v>
      </x:c>
      <x:c r="F19" s="45" t="str">
        <x:v>视频资源：
1、LangGraph 新手入门：https://www.bilibili.com/video/BV1iD4y1f7Ga
   选择建议：优先看；可信度：搜索摘要-指标较全；热度分：3638
2、2026 吃透 LangGraph 全套实战教程：https://www.bilibili.com/video/BV1ancBzjEWi
   选择建议：优先看；可信度：搜索摘要-指标较全；热度分：3630
3、3小时完整教程：LangGraph 从入门到实战：https://www.bilibili.com/video/BV1PaWgz1Eu6
   选择建议：备选/换讲法；可信度：搜索摘要-指标较全；热度分：1117
4、LangGraph 多 agent 框架快速入门：https://www.bilibili.com/video/BV1KK4y1q7Pk
   选择建议：备选/换讲法；可信度：搜索摘要-指标较全；热度分：1073
5、LangGraph 官方系列教程 10集全：https://www.bilibili.com/video/BV1cfQHYeEaA
   选择建议：备选/换讲法；可信度：搜索摘要-指标较全；热度分：710
文档 / GitHub / 工具资源：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19" s="45" t="str">
        <x:v>主表已嵌入 Top5；完整指标见「模块视频Top5」页：LangGraph / Agent 设计 / 多智能体</x:v>
      </x:c>
      <x:c r="H19" s="45" t="str">
        <x:v>1、安装 LangGraph
2、创建 demos/langgraph/
3、写 input -&gt; process -&gt; output 三节点图
4、打印每个节点 state
5、画流程图</x:v>
      </x:c>
      <x:c r="I19" s="45" t="str">
        <x:v>能运行最小 workflow</x:v>
      </x:c>
      <x:c r="J19" s="45" t="str">
        <x:v>demos/09_langgraph_minimal.py</x:v>
      </x:c>
      <x:c r="K19" s="45" t="str">
        <x:v>未开始</x:v>
      </x:c>
      <x:c r="L19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0" ht="142.5" customHeight="1">
      <x:c r="A20" s="45" t="str">
        <x:v>第19天</x:v>
      </x:c>
      <x:c r="B20" s="45" t="str">
        <x:v>LangGraph/Memory</x:v>
      </x:c>
      <x:c r="C20" s="45" t="str">
        <x:v>State 设计</x:v>
      </x:c>
      <x:c r="D20" s="45" t="str">
        <x:v>LangGraph、TypedDict/Pydantic</x:v>
      </x:c>
      <x:c r="E20" s="45" t="str">
        <x:v>把 agent 状态显式建模</x:v>
      </x:c>
      <x:c r="F20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0" s="45" t="str">
        <x:v>主表已嵌入 Top5；完整指标见「模块视频Top5」页：Memory / 长期记忆 / LangGraph</x:v>
      </x:c>
      <x:c r="H20" s="45" t="str">
        <x:v>1、定义 messages/task/tool_results/errors
2、改造最小图使用结构化 state
3、记录节点前后 state diff
4、总结哪些信息该进 state
5、写状态设计原则</x:v>
      </x:c>
      <x:c r="I20" s="45" t="str">
        <x:v>能解释 state 为什么重要</x:v>
      </x:c>
      <x:c r="J20" s="45" t="str">
        <x:v>notes/state_design.md</x:v>
      </x:c>
      <x:c r="K20" s="45" t="str">
        <x:v>未开始</x:v>
      </x:c>
      <x:c r="L20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1" ht="142.5" customHeight="1">
      <x:c r="A21" s="45" t="str">
        <x:v>第20天</x:v>
      </x:c>
      <x:c r="B21" s="45" t="str">
        <x:v>LangGraph/Memory</x:v>
      </x:c>
      <x:c r="C21" s="45" t="str">
        <x:v>Planner/Executor/Reviewer</x:v>
      </x:c>
      <x:c r="D21" s="45" t="str">
        <x:v>LangGraph、DeepSeek API</x:v>
      </x:c>
      <x:c r="E21" s="45" t="str">
        <x:v>用工作流替代单 agent 黑箱</x:v>
      </x:c>
      <x:c r="F21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1" s="45" t="str">
        <x:v>主表已嵌入 Top5；完整指标见「模块视频Top5」页：Memory / 长期记忆 / LangGraph</x:v>
      </x:c>
      <x:c r="H21" s="45" t="str">
        <x:v>1、实现 planner 输出步骤
2、executor 执行一步
3、reviewer 判断是否完成
4、最多循环 3 次
5、记录每轮状态变化</x:v>
      </x:c>
      <x:c r="I21" s="45" t="str">
        <x:v>能看到工作流复核机制</x:v>
      </x:c>
      <x:c r="J21" s="45" t="str">
        <x:v>demos/10_planner_executor_reviewer.py</x:v>
      </x:c>
      <x:c r="K21" s="45" t="str">
        <x:v>未开始</x:v>
      </x:c>
      <x:c r="L21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2" ht="142.5" customHeight="1">
      <x:c r="A22" s="45" t="str">
        <x:v>第21天</x:v>
      </x:c>
      <x:c r="B22" s="45" t="str">
        <x:v>LangGraph/Memory</x:v>
      </x:c>
      <x:c r="C22" s="45" t="str">
        <x:v>LangGraph + Tool</x:v>
      </x:c>
      <x:c r="D22" s="45" t="str">
        <x:v>LangGraph、File/SQL/MCP</x:v>
      </x:c>
      <x:c r="E22" s="45" t="str">
        <x:v>把工具调用放进 workflow</x:v>
      </x:c>
      <x:c r="F22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2" s="45" t="str">
        <x:v>主表已嵌入 Top5；完整指标见「模块视频Top5」页：Memory / 长期记忆 / LangGraph</x:v>
      </x:c>
      <x:c r="H22" s="45" t="str">
        <x:v>1、接入 file 或 sql 工具
2、planner 决定是否调用工具
3、executor 执行并写 state
4、reviewer 检查结果充分性
5、记录失败重试</x:v>
      </x:c>
      <x:c r="I22" s="45" t="str">
        <x:v>graph 能稳定完成带工具任务</x:v>
      </x:c>
      <x:c r="J22" s="45" t="str">
        <x:v>demos/11_langgraph_tool.py</x:v>
      </x:c>
      <x:c r="K22" s="45" t="str">
        <x:v>未开始</x:v>
      </x:c>
      <x:c r="L22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3" ht="142.5" customHeight="1">
      <x:c r="A23" s="45" t="str">
        <x:v>第22天</x:v>
      </x:c>
      <x:c r="B23" s="45" t="str">
        <x:v>LangGraph/Memory</x:v>
      </x:c>
      <x:c r="C23" s="45" t="str">
        <x:v>Human-in-the-loop</x:v>
      </x:c>
      <x:c r="D23" s="45" t="str">
        <x:v>LangGraph、确认机制</x:v>
      </x:c>
      <x:c r="E23" s="45" t="str">
        <x:v>理解危险操作前的人工确认</x:v>
      </x:c>
      <x:c r="F23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3" s="45" t="str">
        <x:v>主表已嵌入 Top5；完整指标见「模块视频Top5」页：Memory / 长期记忆 / LangGraph</x:v>
      </x:c>
      <x:c r="H23" s="45" t="str">
        <x:v>1、设计一个需要确认的操作
2、执行前暂停输出确认请求
3、模拟同意/拒绝
4、记录恢复逻辑
5、总结哪些操作必须人工确认</x:v>
      </x:c>
      <x:c r="I23" s="45" t="str">
        <x:v>知道何时必须让人介入</x:v>
      </x:c>
      <x:c r="J23" s="45" t="str">
        <x:v>demos/12_human_loop.py</x:v>
      </x:c>
      <x:c r="K23" s="45" t="str">
        <x:v>未开始</x:v>
      </x:c>
      <x:c r="L23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4" ht="142.5" customHeight="1">
      <x:c r="A24" s="45" t="str">
        <x:v>第23天</x:v>
      </x:c>
      <x:c r="B24" s="45" t="str">
        <x:v>LangGraph/Memory</x:v>
      </x:c>
      <x:c r="C24" s="45" t="str">
        <x:v>Multi-agent</x:v>
      </x:c>
      <x:c r="D24" s="45" t="str">
        <x:v>LangGraph、Agent 设计资料</x:v>
      </x:c>
      <x:c r="E24" s="45" t="str">
        <x:v>用 supervisor 拆任务</x:v>
      </x:c>
      <x:c r="F24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4" s="45" t="str">
        <x:v>主表已嵌入 Top5；完整指标见「模块视频Top5」页：Memory / 长期记忆 / LangGraph</x:v>
      </x:c>
      <x:c r="H24" s="45" t="str">
        <x:v>1、设计 researcher/coder/reviewer
2、定义每个角色输入输出
3、supervisor 分配任务
4、合并结果并复核
5、记录分工边界</x:v>
      </x:c>
      <x:c r="I24" s="45" t="str">
        <x:v>multi-agent 有明确边界，不是堆角色</x:v>
      </x:c>
      <x:c r="J24" s="45" t="str">
        <x:v>demos/13_multi_agent.py</x:v>
      </x:c>
      <x:c r="K24" s="45" t="str">
        <x:v>未开始</x:v>
      </x:c>
      <x:c r="L24" s="45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5" ht="142.5" customHeight="1">
      <x:c r="A25" s="45" t="str">
        <x:v>第24天</x:v>
      </x:c>
      <x:c r="B25" s="45" t="str">
        <x:v>LangGraph/Memory</x:v>
      </x:c>
      <x:c r="C25" s="45" t="str">
        <x:v>Memory 概念</x:v>
      </x:c>
      <x:c r="D25" s="45" t="str">
        <x:v>LangGraph、SQLite/JSONL</x:v>
      </x:c>
      <x:c r="E25" s="45" t="str">
        <x:v>区分短期、长期、语义、反思记忆</x:v>
      </x:c>
      <x:c r="F25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5" s="45" t="str">
        <x:v>主表已嵌入 Top5；完整指标见「模块视频Top5」页：Memory / 长期记忆 / LangGraph</x:v>
      </x:c>
      <x:c r="H25" s="45" t="str">
        <x:v>1、读 memory 文档
2、做 memory 类型对照表
3、给每种 memory 写例子
4、决定哪些自动保存
5、记录隐私和误记风险</x:v>
      </x:c>
      <x:c r="I25" s="45" t="str">
        <x:v>能解释 agent memory 难点</x:v>
      </x:c>
      <x:c r="J25" s="45" t="str">
        <x:v>notes/memory_taxonomy.md</x:v>
      </x:c>
      <x:c r="K25" s="45" t="str">
        <x:v>未开始</x:v>
      </x:c>
      <x:c r="L25" s="45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6" ht="142.5" customHeight="1">
      <x:c r="A26" s="45" t="str">
        <x:v>第25天</x:v>
      </x:c>
      <x:c r="B26" s="45" t="str">
        <x:v>LangGraph/Memory</x:v>
      </x:c>
      <x:c r="C26" s="45" t="str">
        <x:v>Short-term Memory</x:v>
      </x:c>
      <x:c r="D26" s="45" t="str">
        <x:v>LangGraph state</x:v>
      </x:c>
      <x:c r="E26" s="45" t="str">
        <x:v>实现会话内记忆和摘要</x:v>
      </x:c>
      <x:c r="F26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6" s="45" t="str">
        <x:v>主表已嵌入 Top5；完整指标见「模块视频Top5」页：Memory / 长期记忆 / LangGraph</x:v>
      </x:c>
      <x:c r="H26" s="45" t="str">
        <x:v>1、在 state 保存 messages 和 summary
2、实现消息裁剪或摘要
3、对比有无摘要结果
4、记录 token 变化
5、写适用场景</x:v>
      </x:c>
      <x:c r="I26" s="45" t="str">
        <x:v>长对话不会无限堆上下文</x:v>
      </x:c>
      <x:c r="J26" s="45" t="str">
        <x:v>demos/14_short_memory.py</x:v>
      </x:c>
      <x:c r="K26" s="45" t="str">
        <x:v>未开始</x:v>
      </x:c>
      <x:c r="L26" s="45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7" ht="142.5" customHeight="1">
      <x:c r="A27" s="45" t="str">
        <x:v>第26天</x:v>
      </x:c>
      <x:c r="B27" s="45" t="str">
        <x:v>LangGraph/Memory</x:v>
      </x:c>
      <x:c r="C27" s="45" t="str">
        <x:v>Long-term Memory</x:v>
      </x:c>
      <x:c r="D27" s="45" t="str">
        <x:v>SQLite/JSONL；今天再创建存储</x:v>
      </x:c>
      <x:c r="E27" s="45" t="str">
        <x:v>实现跨会话记忆写入</x:v>
      </x:c>
      <x:c r="F27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7" s="45" t="str">
        <x:v>主表已嵌入 Top5；完整指标见「模块视频Top5」页：Memory / 长期记忆 / LangGraph</x:v>
      </x:c>
      <x:c r="H27" s="45" t="str">
        <x:v>1、设计 memory schema
2、写 add/list memory
3、加入是否值得保存判断
4、跨运行读取旧记忆
5、记录误存案例</x:v>
      </x:c>
      <x:c r="I27" s="45" t="str">
        <x:v>能跨会话读取旧信息</x:v>
      </x:c>
      <x:c r="J27" s="45" t="str">
        <x:v>demos/15_long_memory.py</x:v>
      </x:c>
      <x:c r="K27" s="45" t="str">
        <x:v>未开始</x:v>
      </x:c>
      <x:c r="L27" s="45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8" ht="142.5" customHeight="1">
      <x:c r="A28" s="45" t="str">
        <x:v>第27天</x:v>
      </x:c>
      <x:c r="B28" s="45" t="str">
        <x:v>LangGraph/Memory</x:v>
      </x:c>
      <x:c r="C28" s="45" t="str">
        <x:v>Semantic Recall</x:v>
      </x:c>
      <x:c r="D28" s="45" t="str">
        <x:v>轻量 embedding；向量库可先不服务化</x:v>
      </x:c>
      <x:c r="E28" s="45" t="str">
        <x:v>用向量召回相关记忆</x:v>
      </x:c>
      <x:c r="F28" s="45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G28" s="45" t="str">
        <x:v>主表已嵌入 Top5；完整指标见「模块视频Top5」页：LLM基础 / 注意力机制</x:v>
      </x:c>
      <x:c r="H28" s="45" t="str">
        <x:v>1、给记忆生成 embedding
2、写 recall(query, top_k)
3、把召回内容注入 prompt
4、测试 5 个查询
5、记录召回错配案例</x:v>
      </x:c>
      <x:c r="I28" s="45" t="str">
        <x:v>不会全量塞记忆，而是相关召回</x:v>
      </x:c>
      <x:c r="J28" s="45" t="str">
        <x:v>demos/16_semantic_memory.py</x:v>
      </x:c>
      <x:c r="K28" s="45" t="str">
        <x:v>未开始</x:v>
      </x:c>
      <x:c r="L28" s="45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9" ht="142.5" customHeight="1">
      <x:c r="A29" s="45" t="str">
        <x:v>第28天</x:v>
      </x:c>
      <x:c r="B29" s="45" t="str">
        <x:v>LangGraph/Memory</x:v>
      </x:c>
      <x:c r="C29" s="45" t="str">
        <x:v>阶段复盘</x:v>
      </x:c>
      <x:c r="D29" s="45" t="str">
        <x:v>LangGraph + Memory demos</x:v>
      </x:c>
      <x:c r="E29" s="45" t="str">
        <x:v>沉淀一个可复用 agent skeleton</x:v>
      </x:c>
      <x:c r="F29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29" s="45" t="str">
        <x:v>主表已嵌入 Top5；完整指标见「模块视频Top5」页：Memory / 长期记忆 / LangGraph</x:v>
      </x:c>
      <x:c r="H29" s="45" t="str">
        <x:v>1、整理第18-27天代码
2、画最终 workflow 图
3、写节点职责表
4、标出可复用模板
5、更新 README</x:v>
      </x:c>
      <x:c r="I29" s="45" t="str">
        <x:v>形成可复用 LangGraph/Memory 骨架</x:v>
      </x:c>
      <x:c r="J29" s="45" t="str">
        <x:v>notes/langgraph_memory_review.md</x:v>
      </x:c>
      <x:c r="K29" s="45" t="str">
        <x:v>未开始</x:v>
      </x:c>
      <x:c r="L29" s="45" t="str">
        <x:v>最小完成：把 LangGraph 和 Memory demo 放进同一个 README。
标准完成：画 workflow 图，列出可复用节点。
卡住检查：不要重构所有代码，先整理能跑的最小骨架。
降级方案：只写架构说明和下一步 TODO。
复盘问题：哪些节点可以在毕业项目复用？</x:v>
      </x:c>
    </x:row>
    <x:row r="30" ht="142.5" customHeight="1">
      <x:c r="A30" s="45" t="str">
        <x:v>第29天</x:v>
      </x:c>
      <x:c r="B30" s="45" t="str">
        <x:v>RAG 环境</x:v>
      </x:c>
      <x:c r="C30" s="45" t="str">
        <x:v>RAG 向量库搭建</x:v>
      </x:c>
      <x:c r="D30" s="45" t="str">
        <x:v>Chroma 优先；需要服务化时再 Docker/Qdrant</x:v>
      </x:c>
      <x:c r="E30" s="45" t="str">
        <x:v>第一次进入 RAG，今天再搭向量库</x:v>
      </x:c>
      <x:c r="F30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0" s="45" t="str">
        <x:v>主表已嵌入 Top5；完整指标见「模块视频Top5」页：RAG</x:v>
      </x:c>
      <x:c r="H30" s="45" t="str">
        <x:v>1、安装 Chroma 或启动 Qdrant，推荐先 Chroma
2、准备 3 篇 markdown/txt/pdf
3、切 chunk
4、写入向量库
5、查询并让模型基于片段回答</x:v>
      </x:c>
      <x:c r="I30" s="45" t="str">
        <x:v>文档问答可运行，有引用来源</x:v>
      </x:c>
      <x:c r="J30" s="45" t="str">
        <x:v>demos/17_basic_rag.py</x:v>
      </x:c>
      <x:c r="K30" s="45" t="str">
        <x:v>未开始</x:v>
      </x:c>
      <x:c r="L30" s="45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1" ht="142.5" customHeight="1">
      <x:c r="A31" s="45" t="str">
        <x:v>第30天</x:v>
      </x:c>
      <x:c r="B31" s="45" t="str">
        <x:v>RAG 环境</x:v>
      </x:c>
      <x:c r="C31" s="45" t="str">
        <x:v>Chunking 实验</x:v>
      </x:c>
      <x:c r="D31" s="45" t="str">
        <x:v>RAG demo、evals/</x:v>
      </x:c>
      <x:c r="E31" s="45" t="str">
        <x:v>理解切分策略影响</x:v>
      </x:c>
      <x:c r="F31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1" s="45" t="str">
        <x:v>主表已嵌入 Top5；完整指标见「模块视频Top5」页：RAG</x:v>
      </x:c>
      <x:c r="H31" s="45" t="str">
        <x:v>1、设置 3 种 chunk size/overlap
2、对同一问题检索 top_k
3、记录命中率和噪音
4、选择策略
5、写实验结论</x:v>
      </x:c>
      <x:c r="I31" s="45" t="str">
        <x:v>知道 RAG 质量不只是换模型</x:v>
      </x:c>
      <x:c r="J31" s="45" t="str">
        <x:v>evals/chunking_experiment.xlsx</x:v>
      </x:c>
      <x:c r="K31" s="45" t="str">
        <x:v>未开始</x:v>
      </x:c>
      <x:c r="L31" s="45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2" ht="142.5" customHeight="1">
      <x:c r="A32" s="45" t="str">
        <x:v>第31天</x:v>
      </x:c>
      <x:c r="B32" s="45" t="str">
        <x:v>RAG 环境</x:v>
      </x:c>
      <x:c r="C32" s="45" t="str">
        <x:v>Hybrid/Rerank</x:v>
      </x:c>
      <x:c r="D32" s="45" t="str">
        <x:v>RAG、关键词检索</x:v>
      </x:c>
      <x:c r="E32" s="45" t="str">
        <x:v>理解召回与排序分离</x:v>
      </x:c>
      <x:c r="F32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2" s="45" t="str">
        <x:v>主表已嵌入 Top5；完整指标见「模块视频Top5」页：RAG</x:v>
      </x:c>
      <x:c r="H32" s="45" t="str">
        <x:v>1、实现关键词检索思路
2、实现向量检索
3、合并结果
4、人工或模型评分比较
5、记录不同问题类型的差异</x:v>
      </x:c>
      <x:c r="I32" s="45" t="str">
        <x:v>能解释 hybrid search 的价值</x:v>
      </x:c>
      <x:c r="J32" s="45" t="str">
        <x:v>demos/18_hybrid_search.py</x:v>
      </x:c>
      <x:c r="K32" s="45" t="str">
        <x:v>未开始</x:v>
      </x:c>
      <x:c r="L32" s="45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3" ht="142.5" customHeight="1">
      <x:c r="A33" s="45" t="str">
        <x:v>第32天</x:v>
      </x:c>
      <x:c r="B33" s="45" t="str">
        <x:v>RAG 环境</x:v>
      </x:c>
      <x:c r="C33" s="45" t="str">
        <x:v>Parent Retrieval</x:v>
      </x:c>
      <x:c r="D33" s="45" t="str">
        <x:v>RAG 文档结构</x:v>
      </x:c>
      <x:c r="E33" s="45" t="str">
        <x:v>解决 chunk 太碎问题</x:v>
      </x:c>
      <x:c r="F33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3" s="45" t="str">
        <x:v>主表已嵌入 Top5；完整指标见「模块视频Top5」页：RAG</x:v>
      </x:c>
      <x:c r="H33" s="45" t="str">
        <x:v>1、建立 parent docs 和 child chunks
2、检索 child 返回 parent
3、对比普通 RAG
4、记录改善案例
5、写适用边界</x:v>
      </x:c>
      <x:c r="I33" s="45" t="str">
        <x:v>知道什么时候需要 parent retrieval</x:v>
      </x:c>
      <x:c r="J33" s="45" t="str">
        <x:v>demos/19_parent_retrieval.py</x:v>
      </x:c>
      <x:c r="K33" s="45" t="str">
        <x:v>未开始</x:v>
      </x:c>
      <x:c r="L33" s="45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4" ht="142.5" customHeight="1">
      <x:c r="A34" s="45" t="str">
        <x:v>第33天</x:v>
      </x:c>
      <x:c r="B34" s="45" t="str">
        <x:v>RAG 环境</x:v>
      </x:c>
      <x:c r="C34" s="45" t="str">
        <x:v>RAG Eval</x:v>
      </x:c>
      <x:c r="D34" s="45" t="str">
        <x:v>evals/、RAG demo</x:v>
      </x:c>
      <x:c r="E34" s="45" t="str">
        <x:v>建立问答评测集</x:v>
      </x:c>
      <x:c r="F34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4" s="45" t="str">
        <x:v>主表已嵌入 Top5；完整指标见「模块视频Top5」页：RAG</x:v>
      </x:c>
      <x:c r="H34" s="45" t="str">
        <x:v>1、写 20 个问题和标准答案
2、记录 retrieved chunks 是否命中
3、记录答案是否忠实
4、计算通过率
5、根据结果改 chunk/prompt</x:v>
      </x:c>
      <x:c r="I34" s="45" t="str">
        <x:v>能用 eval 判断系统是否变好</x:v>
      </x:c>
      <x:c r="J34" s="45" t="str">
        <x:v>evals/rag_eval.xlsx</x:v>
      </x:c>
      <x:c r="K34" s="45" t="str">
        <x:v>未开始</x:v>
      </x:c>
      <x:c r="L34" s="45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
RAG 特别注意：每个问题都记录 retrieved chunks 是否命中。</x:v>
      </x:c>
    </x:row>
    <x:row r="35" ht="142.5" customHeight="1">
      <x:c r="A35" s="45" t="str">
        <x:v>第34天</x:v>
      </x:c>
      <x:c r="B35" s="45" t="str">
        <x:v>RAG 环境</x:v>
      </x:c>
      <x:c r="C35" s="45" t="str">
        <x:v>知识库 Agent v1</x:v>
      </x:c>
      <x:c r="D35" s="45" t="str">
        <x:v>LangGraph、RAG、Memory</x:v>
      </x:c>
      <x:c r="E35" s="45" t="str">
        <x:v>把 RAG、Memory、Tool 串起来</x:v>
      </x:c>
      <x:c r="F35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5" s="45" t="str">
        <x:v>主表已嵌入 Top5；完整指标见「模块视频Top5」页：RAG</x:v>
      </x:c>
      <x:c r="H35" s="45" t="str">
        <x:v>1、选择真实知识库主题
2、接入文档检索
3、加入对话记忆
4、用 LangGraph 编排检索、回答、复核
5、测试 10 个问题</x:v>
      </x:c>
      <x:c r="I35" s="45" t="str">
        <x:v>得到可演示知识库 agent</x:v>
      </x:c>
      <x:c r="J35" s="45" t="str">
        <x:v>demos/20_knowledge_agent.py</x:v>
      </x:c>
      <x:c r="K35" s="45" t="str">
        <x:v>未开始</x:v>
      </x:c>
      <x:c r="L35" s="45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6" ht="142.5" customHeight="1">
      <x:c r="A36" s="45" t="str">
        <x:v>第35天</x:v>
      </x:c>
      <x:c r="B36" s="45" t="str">
        <x:v>Dify 环境</x:v>
      </x:c>
      <x:c r="C36" s="45" t="str">
        <x:v>Dify 本地搭建</x:v>
      </x:c>
      <x:c r="D36" s="45" t="str">
        <x:v>Docker Compose、Dify；今天才搭</x:v>
      </x:c>
      <x:c r="E36" s="45" t="str">
        <x:v>用平台对照代码版 RAG</x:v>
      </x:c>
      <x:c r="F36" s="45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G36" s="45" t="str">
        <x:v>主表已嵌入 Top5；完整指标见「模块视频Top5」页：Dify / RAG</x:v>
      </x:c>
      <x:c r="H36" s="45" t="str">
        <x:v>1、阅读 Dify Docker Compose 文档
2、确认 Docker 可用
3、启动 Dify
4、创建 Knowledge 并上传同一批文档
5、记录安装坑点</x:v>
      </x:c>
      <x:c r="I36" s="45" t="str">
        <x:v>能访问 Dify 页面并创建 Knowledge</x:v>
      </x:c>
      <x:c r="J36" s="45" t="str">
        <x:v>notes/dify_setup.md</x:v>
      </x:c>
      <x:c r="K36" s="45" t="str">
        <x:v>未开始</x:v>
      </x:c>
      <x:c r="L36" s="45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7" ht="142.5" customHeight="1">
      <x:c r="A37" s="45" t="str">
        <x:v>第36天</x:v>
      </x:c>
      <x:c r="B37" s="45" t="str">
        <x:v>Dify 环境</x:v>
      </x:c>
      <x:c r="C37" s="45" t="str">
        <x:v>Dify RAG 对照</x:v>
      </x:c>
      <x:c r="D37" s="45" t="str">
        <x:v>Dify Knowledge、前面同一批文档</x:v>
      </x:c>
      <x:c r="E37" s="45" t="str">
        <x:v>理解 Dify 抽象了哪些 RAG 细节</x:v>
      </x:c>
      <x:c r="F37" s="45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G37" s="45" t="str">
        <x:v>主表已嵌入 Top5；完整指标见「模块视频Top5」页：RAG</x:v>
      </x:c>
      <x:c r="H37" s="45" t="str">
        <x:v>1、配置 chunk/retrieval 参数
2、测试与代码版相同问题
3、记录命中和回答差异
4、调整参数
5、写对比结论</x:v>
      </x:c>
      <x:c r="I37" s="45" t="str">
        <x:v>能说明代码版和 Dify 版优缺点</x:v>
      </x:c>
      <x:c r="J37" s="45" t="str">
        <x:v>notes/dify_rag_compare.md</x:v>
      </x:c>
      <x:c r="K37" s="45" t="str">
        <x:v>未开始</x:v>
      </x:c>
      <x:c r="L37" s="45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8" ht="142.5" customHeight="1">
      <x:c r="A38" s="45" t="str">
        <x:v>第37天</x:v>
      </x:c>
      <x:c r="B38" s="45" t="str">
        <x:v>Dify 环境</x:v>
      </x:c>
      <x:c r="C38" s="45" t="str">
        <x:v>Dify Workflow / Agent</x:v>
      </x:c>
      <x:c r="D38" s="45" t="str">
        <x:v>Dify、API Key</x:v>
      </x:c>
      <x:c r="E38" s="45" t="str">
        <x:v>用 Dify 观察产品化 agent</x:v>
      </x:c>
      <x:c r="F38" s="45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G38" s="45" t="str">
        <x:v>主表已嵌入 Top5；完整指标见「模块视频Top5」页：Dify / RAG</x:v>
      </x:c>
      <x:c r="H38" s="45" t="str">
        <x:v>1、创建 Workflow 或 Agent
2、加入知识库和一个工具/API
3、测试 10 个问题
4、截图记录配置
5、总结产品化入口</x:v>
      </x:c>
      <x:c r="I38" s="45" t="str">
        <x:v>能把 RAG 应用做成可用入口</x:v>
      </x:c>
      <x:c r="J38" s="45" t="str">
        <x:v>notes/dify_agent_lab.md</x:v>
      </x:c>
      <x:c r="K38" s="45" t="str">
        <x:v>未开始</x:v>
      </x:c>
      <x:c r="L38" s="45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9" ht="142.5" customHeight="1">
      <x:c r="A39" s="45" t="str">
        <x:v>第38天</x:v>
      </x:c>
      <x:c r="B39" s="45" t="str">
        <x:v>Agent 工程</x:v>
      </x:c>
      <x:c r="C39" s="45" t="str">
        <x:v>Agent 设计模式</x:v>
      </x:c>
      <x:c r="D39" s="45" t="str">
        <x:v>Agent 课程/GitHub</x:v>
      </x:c>
      <x:c r="E39" s="45" t="str">
        <x:v>理解 planner/tool/reflection/multi-agent 模式</x:v>
      </x:c>
      <x:c r="F39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39" s="45" t="str">
        <x:v>主表已嵌入 Top5；完整指标见「模块视频Top5」页：Agent 设计 / 多智能体 / LangGraph / RAG</x:v>
      </x:c>
      <x:c r="H39" s="45" t="str">
        <x:v>1、读 Microsoft AI Agents 目录
2、选 3 个模式做笔记
3、映射到你的知识库 agent
4、记录适用场景
5、更新项目设计</x:v>
      </x:c>
      <x:c r="I39" s="45" t="str">
        <x:v>能从模式角度设计 agent</x:v>
      </x:c>
      <x:c r="J39" s="45" t="str">
        <x:v>notes/agent_patterns.md</x:v>
      </x:c>
      <x:c r="K39" s="45" t="str">
        <x:v>未开始</x:v>
      </x:c>
      <x:c r="L39" s="45" t="str">
        <x:v>最小完成：读 1 个 agent 模式并映射到自己的项目。
标准完成：planner/tool/reflection/multi-agent 各写适用场景。
卡住检查：不要背模式名，问它解决了什么工程问题。
降级方案：只选一个模式深入。
复盘问题：你的项目真的需要 multi-agent 吗？</x:v>
      </x:c>
    </x:row>
    <x:row r="40" ht="142.5" customHeight="1">
      <x:c r="A40" s="45" t="str">
        <x:v>第39天</x:v>
      </x:c>
      <x:c r="B40" s="45" t="str">
        <x:v>Agent 工程</x:v>
      </x:c>
      <x:c r="C40" s="45" t="str">
        <x:v>AI Coding 上下文</x:v>
      </x:c>
      <x:c r="D40" s="45" t="str">
        <x:v>Claude Code/Codex/Cursor 文档</x:v>
      </x:c>
      <x:c r="E40" s="45" t="str">
        <x:v>理解 coding agent 的上下文工程</x:v>
      </x:c>
      <x:c r="F40" s="45" t="str">
        <x:v>视频资源：
1、Claude Code 从 0 到 1 全攻略：https://www.bilibili.com/video/BV14rzQB9EJj
   选择建议：优先看；可信度：搜索摘要-指标较全；热度分：54356
2、Claude Code 入门：组建 AI Agent 员工团队：https://www.bilibili.com/video/BV14e8JzdEgH
   选择建议：优先看；可信度：搜索摘要-指标较全；热度分：10309
3、多线程 AI 实习生在线爆肝：Claude Code 上岗：https://www.bilibili.com/video/BV1rpTdz8Ece
   选择建议：备选/换讲法；可信度：搜索摘要-指标较全；热度分：3716
4、Cursor+Claude AI编程 1天快速上手：https://www.bilibili.com/video/BV1KocTzHE3Z
   选择建议：备选/换讲法；可信度：搜索摘要-指标较全；热度分：3515
5、Anthropic官方演示：30分钟精通 Claude Code：https://www.bilibili.com/video/BV1vSjJzBEsY
   选择建议：备选/换讲法；可信度：搜索摘要-指标较全；热度分：1703
文档 / GitHub / 工具资源：
1、Claude Code Docs：https://docs.anthropic.com/en/docs/claude-code
2、Cursor Docs：https://docs.cursor.com/
3、GitHub Copilot Docs：https://docs.github.com/en/copilot
资源对比说明：
完整播放/点赞/投币/收藏对比见「模块视频Top5」页。</x:v>
      </x:c>
      <x:c r="G40" s="45" t="str">
        <x:v>主表已嵌入 Top5；完整指标见「模块视频Top5」页：AI Coding / Agent OS / Agent 设计 / 多智能体</x:v>
      </x:c>
      <x:c r="H40" s="45" t="str">
        <x:v>1、看 Claude Code 或 Cursor 视频
2、读官方文档
3、为项目写 AGENTS.md
4、让 coding agent 修一个小问题
5、记录上下文是否充分</x:v>
      </x:c>
      <x:c r="I40" s="45" t="str">
        <x:v>agent 能根据上下文稳定工作</x:v>
      </x:c>
      <x:c r="J40" s="45" t="str">
        <x:v>AGENTS.md + README update</x:v>
      </x:c>
      <x:c r="K40" s="45" t="str">
        <x:v>未开始</x:v>
      </x:c>
      <x:c r="L40" s="45" t="str">
        <x:v>最小完成：写 AGENTS.md 或 README 的运行说明。
标准完成：让 coding agent 按说明修一个小问题。
卡住检查：上下文是否缺安装命令、测试命令、目录说明。
降级方案：只写上下文文档，不让 agent 改代码。
复盘问题：agent 出错是能力问题，还是你给的上下文不够？</x:v>
      </x:c>
    </x:row>
    <x:row r="41" ht="142.5" customHeight="1">
      <x:c r="A41" s="45" t="str">
        <x:v>第40天</x:v>
      </x:c>
      <x:c r="B41" s="45" t="str">
        <x:v>Agent 工程</x:v>
      </x:c>
      <x:c r="C41" s="45" t="str">
        <x:v>安全与评估</x:v>
      </x:c>
      <x:c r="D41" s="45" t="str">
        <x:v>工具日志、evals</x:v>
      </x:c>
      <x:c r="E41" s="45" t="str">
        <x:v>给 agent 加边界和回归测试</x:v>
      </x:c>
      <x:c r="F41" s="45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G41" s="45" t="str">
        <x:v>主表已嵌入 Top5；完整指标见「模块视频Top5」页：Function Calling / Tool Calling</x:v>
      </x:c>
      <x:c r="H41" s="45" t="str">
        <x:v>1、列危险工具和敏感数据
2、加工具调用日志
3、写 5 个回归测试
4、设计失败降级策略
5、跑一轮回归</x:v>
      </x:c>
      <x:c r="I41" s="45" t="str">
        <x:v>出错可定位，不是黑箱</x:v>
      </x:c>
      <x:c r="J41" s="45" t="str">
        <x:v>notes/agent_safety_eval.md</x:v>
      </x:c>
      <x:c r="K41" s="45" t="str">
        <x:v>未开始</x:v>
      </x:c>
      <x:c r="L41" s="45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
评估特别注意：至少写 5 个回归用例，覆盖失败路径。</x:v>
      </x:c>
    </x:row>
    <x:row r="42" ht="142.5" customHeight="1">
      <x:c r="A42" s="45" t="str">
        <x:v>第41天</x:v>
      </x:c>
      <x:c r="B42" s="45" t="str">
        <x:v>OpenClaw 可选</x:v>
      </x:c>
      <x:c r="C42" s="45" t="str">
        <x:v>OpenClaw 观察实验</x:v>
      </x:c>
      <x:c r="D42" s="45" t="str">
        <x:v>OpenClaw 隔离目录、测试账号；可只读文档不安装</x:v>
      </x:c>
      <x:c r="E42" s="45" t="str">
        <x:v>观察 Agent OS 的持久化和高权限风险</x:v>
      </x:c>
      <x:c r="F42" s="45" t="str">
        <x:v>视频资源：
1、OpenClaw 教程 / Browser Agent 实战：https://www.bilibili.com/search?keyword=OpenClaw%20AI%20Agent%20%E6%95%99%E7%A8%8B
   选择建议：优先看；可信度：待人工核验；热度分：待核验
2、OpenClaw AI Agent Tutorial：https://www.youtube.com/results?search_query=OpenClaw+AI+Agent+tutorial
   选择建议：优先看；可信度：待人工核验；热度分：待核验
3、Browser-use AI Agent Tutorial：https://www.youtube.com/results?search_query=browser-use+AI+agent+tutorial
   选择建议：备选/换讲法；可信度：待人工核验；热度分：待核验
4、Claude Computer Use / Browser Agent Tutorial：https://www.youtube.com/results?search_query=Claude+computer+use+browser+agent+tutorial
   选择建议：备选/换讲法；可信度：待人工核验；热度分：待核验
5、大模型浏览器自动化 Agent 实战：https://www.bilibili.com/search?keyword=%E5%A4%A7%E6%A8%A1%E5%9E%8B%20%E6%B5%8F%E8%A7%88%E5%99%A8%20Agent%20%E8%87%AA%E5%8A%A8%E5%8C%96
   选择建议：备选/换讲法；可信度：待人工核验；热度分：待核验
文档 / GitHub / 工具资源：
1、OpenClaw：https://openclaw.ai/
2、OpenClaw GitHub：https://github.com/openclaw/openclaw
3、browser-use GitHub：https://github.com/browser-use/browser-use
资源对比说明：
OpenClaw 视频指标多为待人工核验，主依据建议看 GitHub/官方文档；完整候选见「模块视频Top5」。</x:v>
      </x:c>
      <x:c r="G42" s="45" t="str">
        <x:v>主表已嵌入 Top5；完整指标见「模块视频Top5」页：OpenClaw / 浏览器 Agent / AI Coding / Agent OS</x:v>
      </x:c>
      <x:c r="H42" s="45" t="str">
        <x:v>1、阅读 OpenClaw 官网和文档
2、创建隔离目录和测试账号
3、不接真实邮箱、支付、生产系统
4、观察 runtime/workspace/session/tools 概念
5、写和 Dify/LangGraph/MCP 的对照</x:v>
      </x:c>
      <x:c r="I42" s="45" t="str">
        <x:v>形成安全边界清单；如安装必须隔离</x:v>
      </x:c>
      <x:c r="J42" s="45" t="str">
        <x:v>notes/openclaw_compare.md</x:v>
      </x:c>
      <x:c r="K42" s="45" t="str">
        <x:v>未开始</x:v>
      </x:c>
      <x:c r="L42" s="45" t="str">
        <x:v>最小完成：只读文档并写安全边界。
标准完成：如果安装，也只在隔离目录和测试账号中试。
卡住检查：不要急着给真实权限；先理解 workspace、tools、session。
降级方案：不安装也可以完成当天，输出对照分析即可。
复盘问题：这种高权限 agent 最大风险是什么？</x:v>
      </x:c>
    </x:row>
    <x:row r="43" ht="142.5" customHeight="1">
      <x:c r="A43" s="45" t="str">
        <x:v>第42天</x:v>
      </x:c>
      <x:c r="B43" s="45" t="str">
        <x:v>产品化/安全</x:v>
      </x:c>
      <x:c r="C43" s="45" t="str">
        <x:v>产品化思维</x:v>
      </x:c>
      <x:c r="D43" s="45" t="str">
        <x:v>Dify 或 CLI/UI</x:v>
      </x:c>
      <x:c r="E43" s="45" t="str">
        <x:v>把 demo 变成可用工具</x:v>
      </x:c>
      <x:c r="F43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43" s="45" t="str">
        <x:v>主表已嵌入 Top5；完整指标见「模块视频Top5」页：Agent 设计 / 多智能体 / LangGraph / RAG</x:v>
      </x:c>
      <x:c r="H43" s="45" t="str">
        <x:v>1、写目标用户和核心场景
2、删掉不必要功能
3、定义输入输出和错误提示
4、选择 CLI、Dify 或简单 UI 入口
5、整理用户路径</x:v>
      </x:c>
      <x:c r="I43" s="45" t="str">
        <x:v>demo 有清晰使用方式</x:v>
      </x:c>
      <x:c r="J43" s="45" t="str">
        <x:v>notes/product_spec.md</x:v>
      </x:c>
      <x:c r="K43" s="45" t="str">
        <x:v>未开始</x:v>
      </x:c>
      <x:c r="L43" s="45" t="str">
        <x:v>最小完成：写出用户、场景、输入、输出。
标准完成：把 demo 做成 CLI/Dify/UI 中的一种可用入口。
卡住检查：功能是否太多、用户路径是否太长、错误提示是否可理解。
降级方案：先只做 CLI，产品化界面以后再补。
复盘问题：别人不用你解释，能不能独立跑起来？</x:v>
      </x:c>
    </x:row>
    <x:row r="44" ht="142.5" customHeight="1">
      <x:c r="A44" s="45" t="str">
        <x:v>第43天</x:v>
      </x:c>
      <x:c r="B44" s="45" t="str">
        <x:v>产品化/安全</x:v>
      </x:c>
      <x:c r="C44" s="45" t="str">
        <x:v>阶段复盘</x:v>
      </x:c>
      <x:c r="D44" s="45" t="str">
        <x:v>前面所有材料</x:v>
      </x:c>
      <x:c r="E44" s="45" t="str">
        <x:v>决定毕业项目的最小范围</x:v>
      </x:c>
      <x:c r="F44" s="45" t="str">
        <x:v>视频资源：
1、Claude Code 从 0 到 1 全攻略：https://www.bilibili.com/video/BV14rzQB9EJj
   选择建议：优先看；可信度：搜索摘要-指标较全；热度分：54356
2、Claude Code 入门：组建 AI Agent 员工团队：https://www.bilibili.com/video/BV14e8JzdEgH
   选择建议：优先看；可信度：搜索摘要-指标较全；热度分：10309
3、多线程 AI 实习生在线爆肝：Claude Code 上岗：https://www.bilibili.com/video/BV1rpTdz8Ece
   选择建议：备选/换讲法；可信度：搜索摘要-指标较全；热度分：3716
4、Cursor+Claude AI编程 1天快速上手：https://www.bilibili.com/video/BV1KocTzHE3Z
   选择建议：备选/换讲法；可信度：搜索摘要-指标较全；热度分：3515
5、Anthropic官方演示：30分钟精通 Claude Code：https://www.bilibili.com/video/BV1vSjJzBEsY
   选择建议：备选/换讲法；可信度：搜索摘要-指标较全；热度分：1703
文档 / GitHub / 工具资源：
1、Claude Code Docs：https://docs.anthropic.com/en/docs/claude-code
2、Cursor Docs：https://docs.cursor.com/
3、GitHub Copilot Docs：https://docs.github.com/en/copilot
资源对比说明：
完整播放/点赞/投币/收藏对比见「模块视频Top5」页。</x:v>
      </x:c>
      <x:c r="G44" s="45" t="str">
        <x:v>主表已嵌入 Top5；完整指标见「模块视频Top5」页：AI Coding / Agent OS / Agent 设计 / 多智能体</x:v>
      </x:c>
      <x:c r="H44" s="45" t="str">
        <x:v>1、整理所有 demo
2、标出可复用模块
3、选毕业项目方向
4、列出 7 天计划
5、删除不必要目标</x:v>
      </x:c>
      <x:c r="I44" s="45" t="str">
        <x:v>毕业项目范围明确且可完成</x:v>
      </x:c>
      <x:c r="J44" s="45" t="str">
        <x:v>notes/pre_capstone_review.md</x:v>
      </x:c>
      <x:c r="K44" s="45" t="str">
        <x:v>未开始</x:v>
      </x:c>
      <x:c r="L44" s="45" t="str">
        <x:v>最小完成：选一个毕业项目方向。
标准完成：写出范围、风险、7 天计划。
卡住检查：如果需求超过 7 天，马上砍范围。
降级方案：只做“知识库问答 + 评估”也足够。
复盘问题：哪个项目最能证明你掌握了 Agent 工程？</x:v>
      </x:c>
    </x:row>
    <x:row r="45" ht="142.5" customHeight="1">
      <x:c r="A45" s="45" t="str">
        <x:v>第44天</x:v>
      </x:c>
      <x:c r="B45" s="45" t="str">
        <x:v>毕业项目</x:v>
      </x:c>
      <x:c r="C45" s="45" t="str">
        <x:v>项目规划</x:v>
      </x:c>
      <x:c r="D45" s="45" t="str">
        <x:v>只选择项目需要的环境：API/MCP/LangGraph/RAG/Dify</x:v>
      </x:c>
      <x:c r="E45" s="45" t="str">
        <x:v>确定最终项目范围</x:v>
      </x:c>
      <x:c r="F45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45" s="45" t="str">
        <x:v>主表已嵌入 Top5；完整指标见「模块视频Top5」页：Agent 设计 / 多智能体 / LangGraph / RAG</x:v>
      </x:c>
      <x:c r="H45" s="45" t="str">
        <x:v>1、三选一：学习助手/企业知识库/代码助手
2、写用户、数据源、工具、记忆、评估
3、画系统图
4、限制 7 天可完成 MVP
5、列出风险</x:v>
      </x:c>
      <x:c r="I45" s="45" t="str">
        <x:v>范围小而完整</x:v>
      </x:c>
      <x:c r="J45" s="45" t="str">
        <x:v>capstone/plan.md</x:v>
      </x:c>
      <x:c r="K45" s="45" t="str">
        <x:v>未开始</x:v>
      </x:c>
      <x:c r="L45" s="45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6" ht="142.5" customHeight="1">
      <x:c r="A46" s="45" t="str">
        <x:v>第45天</x:v>
      </x:c>
      <x:c r="B46" s="45" t="str">
        <x:v>毕业项目</x:v>
      </x:c>
      <x:c r="C46" s="45" t="str">
        <x:v>MVP 主流程</x:v>
      </x:c>
      <x:c r="D46" s="45" t="str">
        <x:v>LangGraph、Tool、API</x:v>
      </x:c>
      <x:c r="E46" s="45" t="str">
        <x:v>搭建项目主链路</x:v>
      </x:c>
      <x:c r="F46" s="45" t="str">
        <x:v>视频资源：
1、LangGraph 新手入门：https://www.bilibili.com/video/BV1iD4y1f7Ga
   选择建议：优先看；可信度：搜索摘要-指标较全；热度分：3638
2、2026 吃透 LangGraph 全套实战教程：https://www.bilibili.com/video/BV1ancBzjEWi
   选择建议：优先看；可信度：搜索摘要-指标较全；热度分：3630
3、3小时完整教程：LangGraph 从入门到实战：https://www.bilibili.com/video/BV1PaWgz1Eu6
   选择建议：备选/换讲法；可信度：搜索摘要-指标较全；热度分：1117
4、LangGraph 多 agent 框架快速入门：https://www.bilibili.com/video/BV1KK4y1q7Pk
   选择建议：备选/换讲法；可信度：搜索摘要-指标较全；热度分：1073
5、LangGraph 官方系列教程 10集全：https://www.bilibili.com/video/BV1cfQHYeEaA
   选择建议：备选/换讲法；可信度：搜索摘要-指标较全；热度分：710
文档 / GitHub / 工具资源：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46" s="45" t="str">
        <x:v>主表已嵌入 Top5；完整指标见「模块视频Top5」页：LangGraph / Agent 设计 / 多智能体</x:v>
      </x:c>
      <x:c r="H46" s="45" t="str">
        <x:v>1、创建 capstone 项目结构
2、接入至少 1 个工具或 MCP server
3、接入 prompt/schema
4、跑通 happy path
5、记录日志</x:v>
      </x:c>
      <x:c r="I46" s="45" t="str">
        <x:v>有完整主流程</x:v>
      </x:c>
      <x:c r="J46" s="45" t="str">
        <x:v>capstone/mvp_v1</x:v>
      </x:c>
      <x:c r="K46" s="45" t="str">
        <x:v>未开始</x:v>
      </x:c>
      <x:c r="L46" s="45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7" ht="142.5" customHeight="1">
      <x:c r="A47" s="45" t="str">
        <x:v>第46天</x:v>
      </x:c>
      <x:c r="B47" s="45" t="str">
        <x:v>毕业项目</x:v>
      </x:c>
      <x:c r="C47" s="45" t="str">
        <x:v>MVP RAG/Memory</x:v>
      </x:c>
      <x:c r="D47" s="45" t="str">
        <x:v>RAG 或 Memory 栈</x:v>
      </x:c>
      <x:c r="E47" s="45" t="str">
        <x:v>加入核心智能能力</x:v>
      </x:c>
      <x:c r="F47" s="45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G47" s="45" t="str">
        <x:v>主表已嵌入 Top5；完整指标见「模块视频Top5」页：Memory / 长期记忆 / LangGraph</x:v>
      </x:c>
      <x:c r="H47" s="45" t="str">
        <x:v>1、接入文档检索或长期记忆
2、加入日志和错误处理
3、写 10 个测试问题
4、根据结果调 chunk/prompt/schema
5、记录改动</x:v>
      </x:c>
      <x:c r="I47" s="45" t="str">
        <x:v>能处理真实问题</x:v>
      </x:c>
      <x:c r="J47" s="45" t="str">
        <x:v>capstone/mvp_v2</x:v>
      </x:c>
      <x:c r="K47" s="45" t="str">
        <x:v>未开始</x:v>
      </x:c>
      <x:c r="L47" s="45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8" ht="142.5" customHeight="1">
      <x:c r="A48" s="45" t="str">
        <x:v>第47天</x:v>
      </x:c>
      <x:c r="B48" s="45" t="str">
        <x:v>毕业项目</x:v>
      </x:c>
      <x:c r="C48" s="45" t="str">
        <x:v>Dify 对照实现</x:v>
      </x:c>
      <x:c r="D48" s="45" t="str">
        <x:v>Dify 可选；用到才启动</x:v>
      </x:c>
      <x:c r="E48" s="45" t="str">
        <x:v>用 Dify 快速复现一版，理解工程与平台差异</x:v>
      </x:c>
      <x:c r="F48" s="45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G48" s="45" t="str">
        <x:v>主表已嵌入 Top5；完整指标见「模块视频Top5」页：Dify / RAG</x:v>
      </x:c>
      <x:c r="H48" s="45" t="str">
        <x:v>1、在 Dify 中复现核心流程
2、接同一知识库或 API
3、对比代码版和 Dify 版优缺点
4、记录适合产品化的部分
5、决定是否保留 Dify 入口</x:v>
      </x:c>
      <x:c r="I48" s="45" t="str">
        <x:v>知道什么时候用平台，什么时候写代码</x:v>
      </x:c>
      <x:c r="J48" s="45" t="str">
        <x:v>capstone/dify_compare.md</x:v>
      </x:c>
      <x:c r="K48" s="45" t="str">
        <x:v>未开始</x:v>
      </x:c>
      <x:c r="L48" s="45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
毕业项目特别注意：Dify 只是对照实现，不要让它吞掉主线。</x:v>
      </x:c>
    </x:row>
    <x:row r="49" ht="142.5" customHeight="1">
      <x:c r="A49" s="45" t="str">
        <x:v>第48天</x:v>
      </x:c>
      <x:c r="B49" s="45" t="str">
        <x:v>毕业项目</x:v>
      </x:c>
      <x:c r="C49" s="45" t="str">
        <x:v>评估与安全</x:v>
      </x:c>
      <x:c r="D49" s="45" t="str">
        <x:v>evals、工具日志</x:v>
      </x:c>
      <x:c r="E49" s="45" t="str">
        <x:v>给项目加可验证质量标准</x:v>
      </x:c>
      <x:c r="F49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49" s="45" t="str">
        <x:v>主表已嵌入 Top5；完整指标见「模块视频Top5」页：Agent 设计 / 多智能体 / LangGraph / RAG</x:v>
      </x:c>
      <x:c r="H49" s="45" t="str">
        <x:v>1、写 20 个验收问题
2、记录检索命中、答案正确、工具调用情况
3、加入危险操作保护
4、修复最明显问题
5、输出评估结论</x:v>
      </x:c>
      <x:c r="I49" s="45" t="str">
        <x:v>项目有评测，不靠感觉</x:v>
      </x:c>
      <x:c r="J49" s="45" t="str">
        <x:v>capstone/eval.xlsx</x:v>
      </x:c>
      <x:c r="K49" s="45" t="str">
        <x:v>未开始</x:v>
      </x:c>
      <x:c r="L49" s="45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
毕业项目特别注意：先测 happy path，再测失败和边界问题。</x:v>
      </x:c>
    </x:row>
    <x:row r="50" ht="142.5" customHeight="1">
      <x:c r="A50" s="45" t="str">
        <x:v>第49天</x:v>
      </x:c>
      <x:c r="B50" s="45" t="str">
        <x:v>毕业项目</x:v>
      </x:c>
      <x:c r="C50" s="45" t="str">
        <x:v>README 与演示</x:v>
      </x:c>
      <x:c r="D50" s="45" t="str">
        <x:v>Git、README、截图/录屏</x:v>
      </x:c>
      <x:c r="E50" s="45" t="str">
        <x:v>让别人能理解并运行项目</x:v>
      </x:c>
      <x:c r="F50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50" s="45" t="str">
        <x:v>主表已嵌入 Top5；完整指标见「模块视频Top5」页：Agent 设计 / 多智能体 / LangGraph / RAG</x:v>
      </x:c>
      <x:c r="H50" s="45" t="str">
        <x:v>1、补 README：背景、安装、运行、示例
2、补 .env.example
3、准备 3 个演示问题
4、截图或录屏
5、检查敏感信息</x:v>
      </x:c>
      <x:c r="I50" s="45" t="str">
        <x:v>别人按 README 能跑起来</x:v>
      </x:c>
      <x:c r="J50" s="45" t="str">
        <x:v>capstone/README.md</x:v>
      </x:c>
      <x:c r="K50" s="45" t="str">
        <x:v>未开始</x:v>
      </x:c>
      <x:c r="L50" s="45" t="str">
        <x:v>最小完成：写出用户、场景、输入、输出。
标准完成：把 demo 做成 CLI/Dify/UI 中的一种可用入口。
卡住检查：功能是否太多、用户路径是否太长、错误提示是否可理解。
降级方案：先只做 CLI，产品化界面以后再补。
复盘问题：别人不用你解释，能不能独立跑起来？</x:v>
      </x:c>
    </x:row>
    <x:row r="51" ht="142.5" customHeight="1">
      <x:c r="A51" s="45" t="str">
        <x:v>第50天</x:v>
      </x:c>
      <x:c r="B51" s="45" t="str">
        <x:v>毕业项目</x:v>
      </x:c>
      <x:c r="C51" s="45" t="str">
        <x:v>最终复盘</x:v>
      </x:c>
      <x:c r="D51" s="45" t="str">
        <x:v>全套材料</x:v>
      </x:c>
      <x:c r="E51" s="45" t="str">
        <x:v>形成下一阶段路线</x:v>
      </x:c>
      <x:c r="F51" s="45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G51" s="45" t="str">
        <x:v>主表已嵌入 Top5；完整指标见「模块视频Top5」页：Agent 设计 / 多智能体 / LangGraph / RAG</x:v>
      </x:c>
      <x:c r="H51" s="45" t="str">
        <x:v>1、写最终复盘：做了什么、难点、解决方式
2、列下一阶段深入方向
3、整理所有输出物
4、决定继续深挖 RAG/MCP/LangGraph/OpenClaw 哪条线
5、归档学习日志</x:v>
      </x:c>
      <x:c r="I51" s="45" t="str">
        <x:v>能清楚讲出 agent 工程能力闭环</x:v>
      </x:c>
      <x:c r="J51" s="45" t="str">
        <x:v>capstone/final_review.md</x:v>
      </x:c>
      <x:c r="K51" s="45" t="str">
        <x:v>未开始</x:v>
      </x:c>
      <x:c r="L51" s="45" t="str">
        <x:v>最小完成：写 1 页最终复盘。
标准完成：README、演示、eval、final_review 全部齐。
卡住检查：不要继续加功能，今天只收尾和解释。
降级方案：没完成的功能写入下一阶段计划。
复盘问题：你现在能不能向别人讲清楚这套 Agent 怎么工作？</x:v>
      </x:c>
    </x:row>
    <x:row r="52" ht="142.5" customHeight="1">
      <x:c r="A52" s="45" t="str">
        <x:v>第51天</x:v>
      </x:c>
      <x:c r="B52" s="45" t="str">
        <x:v>高级篇：微调认知</x:v>
      </x:c>
      <x:c r="C52" s="45" t="str">
        <x:v>微调到底解决什么问题</x:v>
      </x:c>
      <x:c r="D52" s="45" t="str">
        <x:v>无需训练环境；只需要笔记和前50天项目</x:v>
      </x:c>
      <x:c r="E52" s="45" t="str">
        <x:v>理解微调不是万能增强，而是让模型学格式、风格、领域模式或任务偏好</x:v>
      </x:c>
      <x:c r="F52" s="45" t="str">
        <x:v>视频资源：
1、YouTube 搜索：LLM fine tuning explained：https://www.youtube.com/results?search_query=LLM+fine+tuning+explained
2、B站搜索：大模型微调 LoRA SFT 教程：https://search.bilibili.com/all?keyword=%E5%A4%A7%E6%A8%A1%E5%9E%8B%20%E5%BE%AE%E8%B0%83%20LoRA%20SFT%20%E6%95%99%E7%A8%8B
3、YouTube 搜索：LoRA QLoRA fine tuning tutorial：https://www.youtube.com/results?search_query=LoRA+QLoRA+fine+tuning+tutorial
文档 / GitHub / 工具资源：
1、Hugging Face PEFT：https://github.com/huggingface/peft
2、TRL Docs：https://huggingface.co/docs/trl/index
3、Transformers Docs：https://huggingface.co/docs/transformers/index
4、Unsloth Docs：https://docs.unsloth.ai/
资源对比说明：
微调资源更新快，视频先按主题入口筛选；真正动手以官方文档/GitHub 为准。</x:v>
      </x:c>
      <x:c r="G52" s="45" t="str">
        <x:v>微调高级篇资源；优先读官方文档</x:v>
      </x:c>
      <x:c r="H52" s="45" t="str">
        <x:v>1、列出 Prompt/RAG/Tool/Memory/微调分别解决的问题
2、写 5 个适合微调的场景
3、写 5 个不适合微调的场景
4、回看你的毕业项目，判断是否真的需要微调
5、记录成本和风险</x:v>
      </x:c>
      <x:c r="I52" s="45" t="str">
        <x:v>能解释为什么多数个人项目先不微调</x:v>
      </x:c>
      <x:c r="J52" s="45" t="str">
        <x:v>notes/finetune_decision_basics.md</x:v>
      </x:c>
      <x:c r="K52" s="45" t="str">
        <x:v>未开始</x:v>
      </x:c>
      <x:c r="L52" s="45" t="str">
        <x:v>最小完成：写出微调适合/不适合场景各 3 个。
标准完成：能把你的项目放进决策表。
卡住检查：你是不是把“知识更新”误认为微调？知识更新通常优先 RAG。
降级方案：只做概念笔记，不碰训练环境。</x:v>
      </x:c>
    </x:row>
    <x:row r="53" ht="142.5" customHeight="1">
      <x:c r="A53" s="45" t="str">
        <x:v>第52天</x:v>
      </x:c>
      <x:c r="B53" s="45" t="str">
        <x:v>高级篇：微调认知</x:v>
      </x:c>
      <x:c r="C53" s="45" t="str">
        <x:v>SFT / LoRA / QLoRA 概念</x:v>
      </x:c>
      <x:c r="D53" s="45" t="str">
        <x:v>无需训练环境；可选看 Colab 示例</x:v>
      </x:c>
      <x:c r="E53" s="45" t="str">
        <x:v>理解 SFT、LoRA、QLoRA、adapter、base model、checkpoint 的关系</x:v>
      </x:c>
      <x:c r="F53" s="45" t="str">
        <x:v>视频资源：
1、YouTube 搜索：LLM fine tuning explained：https://www.youtube.com/results?search_query=LLM+fine+tuning+explained
2、B站搜索：大模型微调 LoRA SFT 教程：https://search.bilibili.com/all?keyword=%E5%A4%A7%E6%A8%A1%E5%9E%8B%20%E5%BE%AE%E8%B0%83%20LoRA%20SFT%20%E6%95%99%E7%A8%8B
3、YouTube 搜索：LoRA QLoRA fine tuning tutorial：https://www.youtube.com/results?search_query=LoRA+QLoRA+fine+tuning+tutorial
文档 / GitHub / 工具资源：
1、Hugging Face PEFT：https://github.com/huggingface/peft
2、TRL Docs：https://huggingface.co/docs/trl/index
3、Transformers Docs：https://huggingface.co/docs/transformers/index
4、Unsloth Docs：https://docs.unsloth.ai/
资源对比说明：
微调资源更新快，视频先按主题入口筛选；真正动手以官方文档/GitHub 为准。</x:v>
      </x:c>
      <x:c r="G53" s="45" t="str">
        <x:v>微调高级篇资源；优先读 PEFT/TRL</x:v>
      </x:c>
      <x:c r="H53" s="45" t="str">
        <x:v>1、画出 base model + adapter 的关系图
2、比较 full fine-tuning、LoRA、QLoRA
3、写清显存/成本/效果权衡
4、记录你能承受的训练预算
5、确定只做小模型实验</x:v>
      </x:c>
      <x:c r="I53" s="45" t="str">
        <x:v>能用自己的话解释 LoRA 为什么省资源</x:v>
      </x:c>
      <x:c r="J53" s="45" t="str">
        <x:v>notes/lora_qlora_concepts.md</x:v>
      </x:c>
      <x:c r="K53" s="45" t="str">
        <x:v>未开始</x:v>
      </x:c>
      <x:c r="L53" s="45" t="str">
        <x:v>最小完成：解释 SFT、LoRA、QLoRA 三个词。
标准完成：画一张微调方法对比表。
卡住检查：不要陷入数学推导，先理解工程取舍。
降级方案：只读 PEFT LoRA 文档摘要。</x:v>
      </x:c>
    </x:row>
    <x:row r="54" ht="142.5" customHeight="1">
      <x:c r="A54" s="45" t="str">
        <x:v>第53天</x:v>
      </x:c>
      <x:c r="B54" s="45" t="str">
        <x:v>高级篇：数据集</x:v>
      </x:c>
      <x:c r="C54" s="45" t="str">
        <x:v>指令数据格式</x:v>
      </x:c>
      <x:c r="D54" s="45" t="str">
        <x:v>Python、JSONL；不需要 GPU</x:v>
      </x:c>
      <x:c r="E54" s="45" t="str">
        <x:v>掌握 instruction/input/output、messages、偏好样本等常见数据格式</x:v>
      </x:c>
      <x:c r="F54" s="45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G54" s="45" t="str">
        <x:v>数据集资源；Hugging Face Datasets</x:v>
      </x:c>
      <x:c r="H54" s="45" t="str">
        <x:v>1、创建 data/finetune_samples.jsonl
2、写 20 条 instruction-output 样本
3、转换成 chat messages 格式
4、检查 JSONL 每行可解析
5、写数据字段说明</x:v>
      </x:c>
      <x:c r="I54" s="45" t="str">
        <x:v>能构造最小指令微调数据集</x:v>
      </x:c>
      <x:c r="J54" s="45" t="str">
        <x:v>data/finetune_samples.jsonl</x:v>
      </x:c>
      <x:c r="K54" s="45" t="str">
        <x:v>未开始</x:v>
      </x:c>
      <x:c r="L54" s="45" t="str">
        <x:v>最小完成：写 10 条可解析 JSONL。
标准完成：20-50 条，并有字段说明。
卡住检查：输出是否高质量、是否泄露隐私、格式是否一致。
降级方案：先用手写样本，不用自动生成。</x:v>
      </x:c>
    </x:row>
    <x:row r="55" ht="142.5" customHeight="1">
      <x:c r="A55" s="45" t="str">
        <x:v>第54天</x:v>
      </x:c>
      <x:c r="B55" s="45" t="str">
        <x:v>高级篇：数据集</x:v>
      </x:c>
      <x:c r="C55" s="45" t="str">
        <x:v>数据质量与清洗</x:v>
      </x:c>
      <x:c r="D55" s="45" t="str">
        <x:v>Python、json、正则/脚本；不需要 GPU</x:v>
      </x:c>
      <x:c r="E55" s="45" t="str">
        <x:v>理解重复、脏数据、错误答案、格式漂移对微调的影响</x:v>
      </x:c>
      <x:c r="F55" s="45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G55" s="45" t="str">
        <x:v>数据集资源；Argilla 可选</x:v>
      </x:c>
      <x:c r="H55" s="45" t="str">
        <x:v>1、写脚本检查空字段/重复样本
2、检查输出长度分布
3、找出 5 条低质量样本
4、修正或删除
5、记录清洗规则</x:v>
      </x:c>
      <x:c r="I55" s="45" t="str">
        <x:v>能写一个最小数据质量检查脚本</x:v>
      </x:c>
      <x:c r="J55" s="45" t="str">
        <x:v>demos/10_dataset_quality_check.py</x:v>
      </x:c>
      <x:c r="K55" s="45" t="str">
        <x:v>未开始</x:v>
      </x:c>
      <x:c r="L55" s="45" t="str">
        <x:v>最小完成：检查 JSON 是否可解析和字段是否完整。
标准完成：输出质量报告。
卡住检查：不要追求大数据，先保证小数据干净。
降级方案：人工用表格检查 20 条样本。</x:v>
      </x:c>
    </x:row>
    <x:row r="56" ht="142.5" customHeight="1">
      <x:c r="A56" s="45" t="str">
        <x:v>第55天</x:v>
      </x:c>
      <x:c r="B56" s="45" t="str">
        <x:v>高级篇：数据集</x:v>
      </x:c>
      <x:c r="C56" s="45" t="str">
        <x:v>评估集先于训练</x:v>
      </x:c>
      <x:c r="D56" s="45" t="str">
        <x:v>Python、evals/；不需要 GPU</x:v>
      </x:c>
      <x:c r="E56" s="45" t="str">
        <x:v>先定义怎么判断微调是否变好，避免训练完只凭感觉</x:v>
      </x:c>
      <x:c r="F56" s="45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G56" s="45" t="str">
        <x:v>OpenAI Evals / lm-eval / 自建 eval</x:v>
      </x:c>
      <x:c r="H56" s="45" t="str">
        <x:v>1、从样本中分出 train/eval
2、写 20 条固定评估题
3、定义评分标准
4、用当前模型跑 baseline
5、保存 baseline 结果</x:v>
      </x:c>
      <x:c r="I56" s="45" t="str">
        <x:v>有训练前 baseline，知道要优化什么</x:v>
      </x:c>
      <x:c r="J56" s="45" t="str">
        <x:v>evals/finetune_baseline.jsonl</x:v>
      </x:c>
      <x:c r="K56" s="45" t="str">
        <x:v>未开始</x:v>
      </x:c>
      <x:c r="L56" s="45" t="str">
        <x:v>最小完成：写 10 条评估题。
标准完成：baseline 有输入、输出、人工评分。
卡住检查：评估题是否覆盖你真正关心的失败模式。
降级方案：先人工打分，不做自动化。</x:v>
      </x:c>
    </x:row>
    <x:row r="57" ht="142.5" customHeight="1">
      <x:c r="A57" s="45" t="str">
        <x:v>第56天</x:v>
      </x:c>
      <x:c r="B57" s="45" t="str">
        <x:v>高级篇：训练准备</x:v>
      </x:c>
      <x:c r="C57" s="45" t="str">
        <x:v>选择小模型与运行环境</x:v>
      </x:c>
      <x:c r="D57" s="45" t="str">
        <x:v>Colab/Kaggle/云 GPU 可选；本地无 GPU 可不训练</x:v>
      </x:c>
      <x:c r="E57" s="45" t="str">
        <x:v>理解模型大小、量化、显存、训练时长和费用</x:v>
      </x:c>
      <x:c r="F57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57" s="45" t="str">
        <x:v>Unsloth / PEFT / TRL / Axolotl</x:v>
      </x:c>
      <x:c r="H57" s="45" t="str">
        <x:v>1、比较 3 个可微调小模型
2、确认许可协议
3、估算显存和费用
4、选择 Colab/Kaggle/云 GPU
5、写环境选择记录</x:v>
      </x:c>
      <x:c r="I57" s="45" t="str">
        <x:v>知道该选哪个小模型做实验</x:v>
      </x:c>
      <x:c r="J57" s="45" t="str">
        <x:v>notes/finetune_env_choice.md</x:v>
      </x:c>
      <x:c r="K57" s="45" t="str">
        <x:v>未开始</x:v>
      </x:c>
      <x:c r="L57" s="45" t="str">
        <x:v>最小完成：选定一个小模型和环境。
标准完成：写清显存、费用、许可、风险。
卡住检查：不要选择过大的模型。
降级方案：只做 dry-run，不真实训练。</x:v>
      </x:c>
    </x:row>
    <x:row r="58" ht="142.5" customHeight="1">
      <x:c r="A58" s="45" t="str">
        <x:v>第57天</x:v>
      </x:c>
      <x:c r="B58" s="45" t="str">
        <x:v>高级篇：训练准备</x:v>
      </x:c>
      <x:c r="C58" s="45" t="str">
        <x:v>搭建 Unsloth / PEFT 环境</x:v>
      </x:c>
      <x:c r="D58" s="45" t="str">
        <x:v>Colab/Kaggle 或 Linux GPU；Windows 本地不推荐硬装</x:v>
      </x:c>
      <x:c r="E58" s="45" t="str">
        <x:v>跑通训练环境 smoke test，不追求立刻训练好模型</x:v>
      </x:c>
      <x:c r="F58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58" s="45" t="str">
        <x:v>Unsloth Docs / PEFT Docs</x:v>
      </x:c>
      <x:c r="H58" s="45" t="str">
        <x:v>1、打开 Colab/Kaggle notebook
2、安装依赖
3、加载小模型和 tokenizer
4、跑一条推理
5、记录安装坑点</x:v>
      </x:c>
      <x:c r="I58" s="45" t="str">
        <x:v>环境能加载模型并推理一次</x:v>
      </x:c>
      <x:c r="J58" s="45" t="str">
        <x:v>notes/finetune_env_smoke_test.md</x:v>
      </x:c>
      <x:c r="K58" s="45" t="str">
        <x:v>未开始</x:v>
      </x:c>
      <x:c r="L58" s="45" t="str">
        <x:v>最小完成：能加载 tokenizer 或模型配置。
标准完成：跑通一次推理。
卡住检查：CUDA、依赖版本、显存、模型权限。
降级方案：用官方 notebook 截图和日志记录。</x:v>
      </x:c>
    </x:row>
    <x:row r="59" ht="142.5" customHeight="1">
      <x:c r="A59" s="45" t="str">
        <x:v>第58天</x:v>
      </x:c>
      <x:c r="B59" s="45" t="str">
        <x:v>高级篇：训练实战</x:v>
      </x:c>
      <x:c r="C59" s="45" t="str">
        <x:v>LoRA 小样本训练 dry-run</x:v>
      </x:c>
      <x:c r="D59" s="45" t="str">
        <x:v>云 GPU/Colab；小数据集；限制训练步数</x:v>
      </x:c>
      <x:c r="E59" s="45" t="str">
        <x:v>用极小步数理解训练流程，不追求效果</x:v>
      </x:c>
      <x:c r="F59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59" s="45" t="str">
        <x:v>Unsloth / TRL SFTTrainer</x:v>
      </x:c>
      <x:c r="H59" s="45" t="str">
        <x:v>1、加载 20-50 条样本
2、配置 LoRA rank、learning rate、steps
3、跑 5-20 steps dry-run
4、保存 adapter
5、记录 loss 和日志</x:v>
      </x:c>
      <x:c r="I59" s="45" t="str">
        <x:v>知道训练循环如何跑起来</x:v>
      </x:c>
      <x:c r="J59" s="45" t="str">
        <x:v>notebooks/lora_dry_run.ipynb</x:v>
      </x:c>
      <x:c r="K59" s="45" t="str">
        <x:v>未开始</x:v>
      </x:c>
      <x:c r="L59" s="45" t="str">
        <x:v>最小完成：读懂训练脚本各参数。
标准完成：跑通 5-20 steps 并保存 adapter。
卡住检查：显存不足就降 batch、序列长度、模型大小。
降级方案：不训练，只注释官方脚本。</x:v>
      </x:c>
    </x:row>
    <x:row r="60" ht="142.5" customHeight="1">
      <x:c r="A60" s="45" t="str">
        <x:v>第59天</x:v>
      </x:c>
      <x:c r="B60" s="45" t="str">
        <x:v>高级篇：训练实战</x:v>
      </x:c>
      <x:c r="C60" s="45" t="str">
        <x:v>训练日志与常见失败</x:v>
      </x:c>
      <x:c r="D60" s="45" t="str">
        <x:v>训练日志、loss、样本查看</x:v>
      </x:c>
      <x:c r="E60" s="45" t="str">
        <x:v>理解 loss 下降不等于模型真的变好，学会看失败样本</x:v>
      </x:c>
      <x:c r="F60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60" s="45" t="str">
        <x:v>训练日志 / W&amp;B 可选</x:v>
      </x:c>
      <x:c r="H60" s="45" t="str">
        <x:v>1、整理训练日志
2、检查 loss 曲线
3、抽样对比训练前后输出
4、记录 5 个失败案例
5、判断是否过拟合</x:v>
      </x:c>
      <x:c r="I60" s="45" t="str">
        <x:v>能从日志和样本判断训练是否异常</x:v>
      </x:c>
      <x:c r="J60" s="45" t="str">
        <x:v>notes/finetune_training_log_review.md</x:v>
      </x:c>
      <x:c r="K60" s="45" t="str">
        <x:v>未开始</x:v>
      </x:c>
      <x:c r="L60" s="45" t="str">
        <x:v>最小完成：记录训练配置和 loss。
标准完成：训练前后各 5 条输出对比。
卡住检查：样本太少时很容易背答案。
降级方案：只分析公开 notebook 日志。</x:v>
      </x:c>
    </x:row>
    <x:row r="61" ht="142.5" customHeight="1">
      <x:c r="A61" s="45" t="str">
        <x:v>第60天</x:v>
      </x:c>
      <x:c r="B61" s="45" t="str">
        <x:v>高级篇：训练实战</x:v>
      </x:c>
      <x:c r="C61" s="45" t="str">
        <x:v>Adapter 保存、加载与推理</x:v>
      </x:c>
      <x:c r="D61" s="45" t="str">
        <x:v>LoRA adapter、base model、推理脚本</x:v>
      </x:c>
      <x:c r="E61" s="45" t="str">
        <x:v>掌握 adapter 不是完整模型，推理要和 base model 搭配</x:v>
      </x:c>
      <x:c r="F61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61" s="45" t="str">
        <x:v>PEFT save/load docs</x:v>
      </x:c>
      <x:c r="H61" s="45" t="str">
        <x:v>1、保存 adapter
2、重新加载 base model + adapter
3、跑固定评估题
4、导出推理结果
5、记录模型版本</x:v>
      </x:c>
      <x:c r="I61" s="45" t="str">
        <x:v>能加载微调 adapter 并完成推理</x:v>
      </x:c>
      <x:c r="J61" s="45" t="str">
        <x:v>demos/11_lora_inference.py</x:v>
      </x:c>
      <x:c r="K61" s="45" t="str">
        <x:v>未开始</x:v>
      </x:c>
      <x:c r="L61" s="45" t="str">
        <x:v>最小完成：理解 adapter 保存/加载流程。
标准完成：用 adapter 跑 10 条评估题。
卡住检查：base model 必须一致，路径和 dtype 要匹配。
降级方案：用伪代码写完整流程。</x:v>
      </x:c>
    </x:row>
    <x:row r="62" ht="142.5" customHeight="1">
      <x:c r="A62" s="45" t="str">
        <x:v>第61天</x:v>
      </x:c>
      <x:c r="B62" s="45" t="str">
        <x:v>高级篇：评估</x:v>
      </x:c>
      <x:c r="C62" s="45" t="str">
        <x:v>微调前后对比评估</x:v>
      </x:c>
      <x:c r="D62" s="45" t="str">
        <x:v>evals/、baseline、finetuned outputs</x:v>
      </x:c>
      <x:c r="E62" s="45" t="str">
        <x:v>用同一评估集比较 base 与 finetuned，不靠主观感觉</x:v>
      </x:c>
      <x:c r="F62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2" s="45" t="str">
        <x:v>Evaluate / 自建评分表</x:v>
      </x:c>
      <x:c r="H62" s="45" t="str">
        <x:v>1、整理 baseline 输出
2、整理微调后输出
3、按同一 rubric 打分
4、统计提升/退化样本
5、写结论</x:v>
      </x:c>
      <x:c r="I62" s="45" t="str">
        <x:v>能判断微调是否真的有收益</x:v>
      </x:c>
      <x:c r="J62" s="45" t="str">
        <x:v>evals/finetune_compare.xlsx</x:v>
      </x:c>
      <x:c r="K62" s="45" t="str">
        <x:v>未开始</x:v>
      </x:c>
      <x:c r="L62" s="45" t="str">
        <x:v>最小完成：人工对比 5 条。
标准完成：20 条评估题完整评分。
卡住检查：是否只优化了格式却损害事实性。
降级方案：用 markdown 表格评分。</x:v>
      </x:c>
    </x:row>
    <x:row r="63" ht="142.5" customHeight="1">
      <x:c r="A63" s="45" t="str">
        <x:v>第62天</x:v>
      </x:c>
      <x:c r="B63" s="45" t="str">
        <x:v>高级篇：评估</x:v>
      </x:c>
      <x:c r="C63" s="45" t="str">
        <x:v>灾难性遗忘与泛化</x:v>
      </x:c>
      <x:c r="D63" s="45" t="str">
        <x:v>评估集、反例集</x:v>
      </x:c>
      <x:c r="E63" s="45" t="str">
        <x:v>理解微调可能让模型变窄、变自信、泛化变差</x:v>
      </x:c>
      <x:c r="F63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3" s="45" t="str">
        <x:v>lm-evaluation-harness 可选</x:v>
      </x:c>
      <x:c r="H63" s="45" t="str">
        <x:v>1、准备 10 条非训练分布问题
2、测试 base 与 adapter
3、找退化案例
4、分析是否过拟合
5、写风险清单</x:v>
      </x:c>
      <x:c r="I63" s="45" t="str">
        <x:v>能识别微调副作用</x:v>
      </x:c>
      <x:c r="J63" s="45" t="str">
        <x:v>notes/finetune_regression_risks.md</x:v>
      </x:c>
      <x:c r="K63" s="45" t="str">
        <x:v>未开始</x:v>
      </x:c>
      <x:c r="L63" s="45" t="str">
        <x:v>最小完成：写 5 条泛化测试。
标准完成：训练内/训练外/安全问题三类对比。
卡住检查：不要只看成功案例。
降级方案：用理论分析替代真实测试。</x:v>
      </x:c>
    </x:row>
    <x:row r="64" ht="142.5" customHeight="1">
      <x:c r="A64" s="45" t="str">
        <x:v>第63天</x:v>
      </x:c>
      <x:c r="B64" s="45" t="str">
        <x:v>高级篇：评估</x:v>
      </x:c>
      <x:c r="C64" s="45" t="str">
        <x:v>安全与数据合规</x:v>
      </x:c>
      <x:c r="D64" s="45" t="str">
        <x:v>数据清单、隐私检查、许可协议</x:v>
      </x:c>
      <x:c r="E64" s="45" t="str">
        <x:v>理解微调会把数据模式写进模型权重，隐私和版权更敏感</x:v>
      </x:c>
      <x:c r="F64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4" s="45" t="str">
        <x:v>模型许可 / 数据许可文档</x:v>
      </x:c>
      <x:c r="H64" s="45" t="str">
        <x:v>1、检查样本是否含个人信息
2、检查数据来源许可
3、写不可训练数据清单
4、设计脱敏规则
5、记录发布限制</x:v>
      </x:c>
      <x:c r="I64" s="45" t="str">
        <x:v>知道哪些数据不能拿来微调</x:v>
      </x:c>
      <x:c r="J64" s="45" t="str">
        <x:v>notes/finetune_data_safety.md</x:v>
      </x:c>
      <x:c r="K64" s="45" t="str">
        <x:v>未开始</x:v>
      </x:c>
      <x:c r="L64" s="45" t="str">
        <x:v>最小完成：列出不能训练的数据类型。
标准完成：为你的数据集写许可和脱敏说明。
卡住检查：聊天记录、客户数据、内部文档都要谨慎。
降级方案：只用自造样本实验。</x:v>
      </x:c>
    </x:row>
    <x:row r="65" ht="142.5" customHeight="1">
      <x:c r="A65" s="45" t="str">
        <x:v>第64天</x:v>
      </x:c>
      <x:c r="B65" s="45" t="str">
        <x:v>高级篇：取舍</x:v>
      </x:c>
      <x:c r="C65" s="45" t="str">
        <x:v>RAG vs 微调 vs Prompt</x:v>
      </x:c>
      <x:c r="D65" s="45" t="str">
        <x:v>前50天项目、微调评估结果</x:v>
      </x:c>
      <x:c r="E65" s="45" t="str">
        <x:v>建立技术选型判断，不为微调而微调</x:v>
      </x:c>
      <x:c r="F65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5" s="45" t="str">
        <x:v>RAG vs Fine-tuning 资源</x:v>
      </x:c>
      <x:c r="H65" s="45" t="str">
        <x:v>1、列出 10 个需求
2、分别判断 Prompt/RAG/Tool/Memory/微调
3、写选择理由
4、估算成本和维护复杂度
5、形成决策表</x:v>
      </x:c>
      <x:c r="I65" s="45" t="str">
        <x:v>能做技术路线取舍</x:v>
      </x:c>
      <x:c r="J65" s="45" t="str">
        <x:v>notes/rag_vs_finetune_decision.md</x:v>
      </x:c>
      <x:c r="K65" s="45" t="str">
        <x:v>未开始</x:v>
      </x:c>
      <x:c r="L65" s="45" t="str">
        <x:v>最小完成：完成 5 个需求的决策。
标准完成：10 个需求，每个有理由和风险。
卡住检查：知识类问题优先 RAG，格式/风格类才考虑微调。
降级方案：先用两列表格：需求/推荐方案。</x:v>
      </x:c>
    </x:row>
    <x:row r="66" ht="142.5" customHeight="1">
      <x:c r="A66" s="45" t="str">
        <x:v>第65天</x:v>
      </x:c>
      <x:c r="B66" s="45" t="str">
        <x:v>高级篇：取舍</x:v>
      </x:c>
      <x:c r="C66" s="45" t="str">
        <x:v>何时用 API 微调 / 开源微调</x:v>
      </x:c>
      <x:c r="D66" s="45" t="str">
        <x:v>API fine-tuning 文档、开源训练框架</x:v>
      </x:c>
      <x:c r="E66" s="45" t="str">
        <x:v>理解 API 微调和开源微调的成本、隐私、部署差异</x:v>
      </x:c>
      <x:c r="F66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6" s="45" t="str">
        <x:v>OpenAI/平台文档 + Hugging Face</x:v>
      </x:c>
      <x:c r="H66" s="45" t="str">
        <x:v>1、比较 API 微调和开源 LoRA
2、写成本/数据/部署/维护维度
3、结合 deepseek-v4-flash 成本策略
4、判断个人自学优先级
5、写结论</x:v>
      </x:c>
      <x:c r="I66" s="45" t="str">
        <x:v>知道个人项目通常先选哪条路</x:v>
      </x:c>
      <x:c r="J66" s="45" t="str">
        <x:v>notes/api_vs_open_source_finetune.md</x:v>
      </x:c>
      <x:c r="K66" s="45" t="str">
        <x:v>未开始</x:v>
      </x:c>
      <x:c r="L66" s="45" t="str">
        <x:v>最小完成：写 API vs 开源 5 项对比。
标准完成：结合你的项目做决策。
卡住检查：不要忽略推理部署成本。
降级方案：只做文档调研。</x:v>
      </x:c>
    </x:row>
    <x:row r="67" ht="142.5" customHeight="1">
      <x:c r="A67" s="45" t="str">
        <x:v>第66天</x:v>
      </x:c>
      <x:c r="B67" s="45" t="str">
        <x:v>高级篇：工程化</x:v>
      </x:c>
      <x:c r="C67" s="45" t="str">
        <x:v>微调产物版本管理</x:v>
      </x:c>
      <x:c r="D67" s="45" t="str">
        <x:v>Git LFS 可选、模型卡、配置文件</x:v>
      </x:c>
      <x:c r="E67" s="45" t="str">
        <x:v>学习如何记录模型、数据、参数、评估，避免实验不可复现</x:v>
      </x:c>
      <x:c r="F67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67" s="45" t="str">
        <x:v>Model Card / Dataset Card / W&amp;B 可选</x:v>
      </x:c>
      <x:c r="H67" s="45" t="str">
        <x:v>1、写 dataset card
2、写 model card 草稿
3、记录训练参数
4、记录评估结果
5、建立 experiments/ 目录</x:v>
      </x:c>
      <x:c r="I67" s="45" t="str">
        <x:v>微调实验可复现</x:v>
      </x:c>
      <x:c r="J67" s="45" t="str">
        <x:v>experiments/finetune_v1/README.md</x:v>
      </x:c>
      <x:c r="K67" s="45" t="str">
        <x:v>未开始</x:v>
      </x:c>
      <x:c r="L67" s="45" t="str">
        <x:v>最小完成：记录数据版本和训练参数。
标准完成：模型卡、数据卡、评估结果齐全。
卡住检查：未来的你能否复现实验？
降级方案：用 README 记录即可。</x:v>
      </x:c>
    </x:row>
    <x:row r="68" ht="142.5" customHeight="1">
      <x:c r="A68" s="45" t="str">
        <x:v>第67天</x:v>
      </x:c>
      <x:c r="B68" s="45" t="str">
        <x:v>高级篇：工程化</x:v>
      </x:c>
      <x:c r="C68" s="45" t="str">
        <x:v>服务化与推理成本</x:v>
      </x:c>
      <x:c r="D68" s="45" t="str">
        <x:v>推理脚本、部署选项、量化概念</x:v>
      </x:c>
      <x:c r="E68" s="45" t="str">
        <x:v>理解微调后还要部署，部署成本可能比训练更长期</x:v>
      </x:c>
      <x:c r="F68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8" s="45" t="str">
        <x:v>vLLM / llama.cpp / TGI 文档可选</x:v>
      </x:c>
      <x:c r="H68" s="45" t="str">
        <x:v>1、比较本地推理、云推理、API 托管
2、记录延迟/成本/维护难度
3、理解量化和吞吐
4、为你的项目选推理方式
5、写部署草图</x:v>
      </x:c>
      <x:c r="I68" s="45" t="str">
        <x:v>知道训练完如何实际使用</x:v>
      </x:c>
      <x:c r="J68" s="45" t="str">
        <x:v>notes/finetune_serving_plan.md</x:v>
      </x:c>
      <x:c r="K68" s="45" t="str">
        <x:v>未开始</x:v>
      </x:c>
      <x:c r="L68" s="45" t="str">
        <x:v>最小完成：列出 3 种部署方式优缺点。
标准完成：为你的项目写一页部署草图。
卡住检查：训练成功不代表能低成本上线。
降级方案：先不部署，只保留离线推理。</x:v>
      </x:c>
    </x:row>
    <x:row r="69" ht="142.5" customHeight="1">
      <x:c r="A69" s="45" t="str">
        <x:v>第68天</x:v>
      </x:c>
      <x:c r="B69" s="45" t="str">
        <x:v>高级篇：综合项目</x:v>
      </x:c>
      <x:c r="C69" s="45" t="str">
        <x:v>把微调判断接入毕业项目</x:v>
      </x:c>
      <x:c r="D69" s="45" t="str">
        <x:v>前50天毕业项目、评估表</x:v>
      </x:c>
      <x:c r="E69" s="45" t="str">
        <x:v>决定毕业项目是否需要微调，并给出证据</x:v>
      </x:c>
      <x:c r="F69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69" s="45" t="str">
        <x:v>复用前面所有资源</x:v>
      </x:c>
      <x:c r="H69" s="45" t="str">
        <x:v>1、回看毕业项目失败样本
2、判断失败是知识缺失、工具缺失、格式不稳还是风格问题
3、选择 Prompt/RAG/Tool/Memory/微调方案
4、如果需要微调，定义数据需求
5、如果不需要，写明理由</x:v>
      </x:c>
      <x:c r="I69" s="45" t="str">
        <x:v>项目技术路线更清楚</x:v>
      </x:c>
      <x:c r="J69" s="45" t="str">
        <x:v>notes/project_finetune_decision.md</x:v>
      </x:c>
      <x:c r="K69" s="45" t="str">
        <x:v>未开始</x:v>
      </x:c>
      <x:c r="L69" s="45" t="str">
        <x:v>最小完成：写是否需要微调的结论。
标准完成：每类失败都有对应技术方案。
卡住检查：不要让微调替代工具调用或知识库。
降级方案：只分析 5 个失败样本。</x:v>
      </x:c>
    </x:row>
    <x:row r="70" ht="142.5" customHeight="1">
      <x:c r="A70" s="45" t="str">
        <x:v>第69天</x:v>
      </x:c>
      <x:c r="B70" s="45" t="str">
        <x:v>高级篇：综合项目</x:v>
      </x:c>
      <x:c r="C70" s="45" t="str">
        <x:v>微调最小 PoC 或替代方案</x:v>
      </x:c>
      <x:c r="D70" s="45" t="str">
        <x:v>可选 GPU；也可选择不训练</x:v>
      </x:c>
      <x:c r="E70" s="45" t="str">
        <x:v>用证据完成一个 PoC：要么跑通最小微调，要么证明不该微调</x:v>
      </x:c>
      <x:c r="F70" s="45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G70" s="45" t="str">
        <x:v>Unsloth / PEFT / 决策表</x:v>
      </x:c>
      <x:c r="H70" s="45" t="str">
        <x:v>1、选择 PoC 路线
2、若训练：跑小样本 adapter 并评估
3、若不训练：用 RAG/Prompt/Tool 改进失败样本
4、记录前后对比
5、写技术结论</x:v>
      </x:c>
      <x:c r="I70" s="45" t="str">
        <x:v>有一个可解释的高级篇结论</x:v>
      </x:c>
      <x:c r="J70" s="45" t="str">
        <x:v>poc/finetune_or_alternative_report.md</x:v>
      </x:c>
      <x:c r="K70" s="45" t="str">
        <x:v>未开始</x:v>
      </x:c>
      <x:c r="L70" s="45" t="str">
        <x:v>最小完成：完成“不训练也有理由”的报告。
标准完成：微调 PoC 或替代方案有前后对比。
卡住检查：PoC 目标是否太大。
降级方案：只做替代方案实验。</x:v>
      </x:c>
    </x:row>
    <x:row r="71" ht="142.5" customHeight="1">
      <x:c r="A71" s="45" t="str">
        <x:v>第70天</x:v>
      </x:c>
      <x:c r="B71" s="45" t="str">
        <x:v>高级篇：最终复盘</x:v>
      </x:c>
      <x:c r="C71" s="45" t="str">
        <x:v>70天路线总复盘</x:v>
      </x:c>
      <x:c r="D71" s="45" t="str">
        <x:v>所有笔记、代码、评估表</x:v>
      </x:c>
      <x:c r="E71" s="45" t="str">
        <x:v>把 Agent 工程和微调高级篇整合成自己的技术地图</x:v>
      </x:c>
      <x:c r="F71" s="45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G71" s="45" t="str">
        <x:v>全表资源 + 项目验收</x:v>
      </x:c>
      <x:c r="H71" s="45" t="str">
        <x:v>1、整理 70 天输出物
2、写技术地图：Prompt/RAG/Tool/Memory/MCP/LangGraph/Dify/微调
3、列下一阶段 3 个项目方向
4、清理 README 和演示材料
5、写最终复盘</x:v>
      </x:c>
      <x:c r="I71" s="45" t="str">
        <x:v>形成个人 AI Agent + 微调学习闭环</x:v>
      </x:c>
      <x:c r="J71" s="45" t="str">
        <x:v>notes/70_day_final_review.md</x:v>
      </x:c>
      <x:c r="K71" s="45" t="str">
        <x:v>未开始</x:v>
      </x:c>
      <x:c r="L71" s="45" t="str">
        <x:v>最小完成：写 10 条关键收获。
标准完成：技术地图 + 下一阶段项目计划 + README 更新。
卡住检查：复盘不是流水账，要写“以后怎么选型”。
降级方案：只整理输出物清单。</x:v>
      </x:c>
    </x:row>
  </x:sheetData>
  <x:dataValidations count="2">
    <x:dataValidation errorStyle="warning" showErrorMessage="1" errorTitle="状态选项" error="请选择：未开始、进行中、已完成、需要复盘。" sqref="K2:K51"/>
    <x:dataValidation errorStyle="warning" showErrorMessage="1" errorTitle="状态选项" error="请选择状态" sqref="K2:K71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6.43000030517578" hidden="0" customWidth="1"/>
    <x:col min="2" max="2" width="23.56999969482422" hidden="0" customWidth="1"/>
    <x:col min="3" max="3" width="46.43000030517578" hidden="0" customWidth="1"/>
    <x:col min="4" max="4" width="50.709999084472656" hidden="0" customWidth="1"/>
    <x:col min="5" max="5" width="45" hidden="0" customWidth="1"/>
  </x:cols>
  <x:sheetData>
    <x:row r="1" ht="14.649999618530273">
      <x:c r="A1" s="102" t="str">
        <x:v>触发时间</x:v>
      </x:c>
      <x:c r="B1" s="102" t="str">
        <x:v>环境模块</x:v>
      </x:c>
      <x:c r="C1" s="102" t="str">
        <x:v>现在需要搭什么</x:v>
      </x:c>
      <x:c r="D1" s="102" t="str">
        <x:v>验证方式</x:v>
      </x:c>
      <x:c r="E1" s="102" t="str">
        <x:v>服务哪些学习日</x:v>
      </x:c>
    </x:row>
    <x:row r="2" ht="14.25">
      <x:c r="A2" s="44" t="str">
        <x:v>第1天前</x:v>
      </x:c>
      <x:c r="B2" s="44" t="str">
        <x:v>基础开发环境</x:v>
      </x:c>
      <x:c r="C2" s="44" t="str">
        <x:v>Python 3.11+、Git、VS Code、uv 或 pip、学习仓库</x:v>
      </x:c>
      <x:c r="D2" s="44" t="str">
        <x:v>python --version；git --version；能提交 README</x:v>
      </x:c>
      <x:c r="E2" s="44" t="str">
        <x:v>第1天-全程</x:v>
      </x:c>
    </x:row>
    <x:row r="3" ht="27.75">
      <x:c r="A3" s="44" t="str">
        <x:v>第2天前</x:v>
      </x:c>
      <x:c r="B3" s="44" t="str">
        <x:v>DeepSeek API</x:v>
      </x:c>
      <x:c r="C3" s="44" t="str">
        <x:v>DEEPSEEK_API_KEY、MODEL_NAME=deepseek-v4-flash、BASE_URL=https://api.deepseek.com、.env.example</x:v>
      </x:c>
      <x:c r="D3" s="44" t="str">
        <x:v>能跑通最小 API 调用；key 不进入 Git</x:v>
      </x:c>
      <x:c r="E3" s="44" t="str">
        <x:v>第2天、第4-17天、第29天以后</x:v>
      </x:c>
    </x:row>
    <x:row r="4" ht="14.25">
      <x:c r="A4" s="44" t="str">
        <x:v>第3天前</x:v>
      </x:c>
      <x:c r="B4" s="44" t="str">
        <x:v>本地文档目录</x:v>
      </x:c>
      <x:c r="C4" s="44" t="str">
        <x:v>data/、notes/、evals/、demos/；准备几篇 markdown/txt/pdf</x:v>
      </x:c>
      <x:c r="D4" s="44" t="str">
        <x:v>能读写 data/ 下测试文件</x:v>
      </x:c>
      <x:c r="E4" s="44" t="str">
        <x:v>Prompt、工具、RAG 全程</x:v>
      </x:c>
    </x:row>
    <x:row r="5" ht="14.25">
      <x:c r="A5" s="44" t="str">
        <x:v>第11天前</x:v>
      </x:c>
      <x:c r="B5" s="44" t="str">
        <x:v>Function Calling 练习环境</x:v>
      </x:c>
      <x:c r="C5" s="44" t="str">
        <x:v>Pydantic/jsonschema、日志目录、SQLite demo 数据库</x:v>
      </x:c>
      <x:c r="D5" s="44" t="str">
        <x:v>文件工具和 SQLite 只读查询能本地运行</x:v>
      </x:c>
      <x:c r="E5" s="44" t="str">
        <x:v>第11-17天</x:v>
      </x:c>
    </x:row>
    <x:row r="6" ht="14.25">
      <x:c r="A6" s="44" t="str">
        <x:v>第15天前</x:v>
      </x:c>
      <x:c r="B6" s="44" t="str">
        <x:v>MCP SDK</x:v>
      </x:c>
      <x:c r="C6" s="44" t="str">
        <x:v>安装 MCP Python SDK；准备一个 hello server</x:v>
      </x:c>
      <x:c r="D6" s="44" t="str">
        <x:v>hello MCP server 能启动并被客户端发现</x:v>
      </x:c>
      <x:c r="E6" s="44" t="str">
        <x:v>第15-17天、第45天</x:v>
      </x:c>
    </x:row>
    <x:row r="7" ht="14.25">
      <x:c r="A7" s="44" t="str">
        <x:v>第18天前</x:v>
      </x:c>
      <x:c r="B7" s="44" t="str">
        <x:v>LangGraph</x:v>
      </x:c>
      <x:c r="C7" s="44" t="str">
        <x:v>安装 LangGraph；准备最小 graph 项目结构</x:v>
      </x:c>
      <x:c r="D7" s="44" t="str">
        <x:v>input -&gt; node -&gt; output 能运行</x:v>
      </x:c>
      <x:c r="E7" s="44" t="str">
        <x:v>第18-28天、第34天以后</x:v>
      </x:c>
    </x:row>
    <x:row r="8" ht="14.25">
      <x:c r="A8" s="44" t="str">
        <x:v>第29天前</x:v>
      </x:c>
      <x:c r="B8" s="44" t="str">
        <x:v>RAG 向量库</x:v>
      </x:c>
      <x:c r="C8" s="44" t="str">
        <x:v>先选轻量 Chroma；若需要服务化再上 Qdrant/Docker</x:v>
      </x:c>
      <x:c r="D8" s="44" t="str">
        <x:v>能写入 3 条文本并检索 top_k</x:v>
      </x:c>
      <x:c r="E8" s="44" t="str">
        <x:v>第29-34天、第46天</x:v>
      </x:c>
    </x:row>
    <x:row r="9" ht="14.25">
      <x:c r="A9" s="44" t="str">
        <x:v>第35天前</x:v>
      </x:c>
      <x:c r="B9" s="44" t="str">
        <x:v>Dify</x:v>
      </x:c>
      <x:c r="C9" s="44" t="str">
        <x:v>需要 Docker Compose；只在做 Dify 对照实验前安装</x:v>
      </x:c>
      <x:c r="D9" s="44" t="str">
        <x:v>能打开 Dify 页面并创建 Knowledge/App</x:v>
      </x:c>
      <x:c r="E9" s="44" t="str">
        <x:v>第35-37天、第47天</x:v>
      </x:c>
    </x:row>
    <x:row r="10" ht="14.25">
      <x:c r="A10" s="44" t="str">
        <x:v>第41天前</x:v>
      </x:c>
      <x:c r="B10" s="44" t="str">
        <x:v>OpenClaw 可选隔离环境</x:v>
      </x:c>
      <x:c r="C10" s="44" t="str">
        <x:v>只在隔离目录、测试账号、无生产权限环境中准备；可只读文档不安装</x:v>
      </x:c>
      <x:c r="D10" s="44" t="str">
        <x:v>写出安全边界清单；如安装必须隔离</x:v>
      </x:c>
      <x:c r="E10" s="44" t="str">
        <x:v>第41天观察实验</x:v>
      </x:c>
    </x:row>
    <x:row r="11" ht="14.25">
      <x:c r="A11" s="44" t="str">
        <x:v>第44天前</x:v>
      </x:c>
      <x:c r="B11" s="44" t="str">
        <x:v>毕业项目环境</x:v>
      </x:c>
      <x:c r="C11" s="44" t="str">
        <x:v>把 API、MCP、LangGraph、RAG/Dify 中真正要用的部分合并到 capstone/</x:v>
      </x:c>
      <x:c r="D11" s="44" t="str">
        <x:v>README 能一键说明运行流程</x:v>
      </x:c>
      <x:c r="E11" s="44" t="str">
        <x:v>第44-50天</x:v>
      </x:c>
    </x:row>
    <x:row r="12">
      <x:c r="A12" s="44" t="str">
        <x:v>第51-52天</x:v>
      </x:c>
      <x:c r="B12" s="44" t="str">
        <x:v>微调概念环境</x:v>
      </x:c>
      <x:c r="C12" s="44" t="str">
        <x:v>无训练环境；笔记即可</x:v>
      </x:c>
      <x:c r="D12" s="44" t="str">
        <x:v>先理解概念、成本、风险</x:v>
      </x:c>
      <x:c r="E12" s="44" t="str">
        <x:v>避免一上来折腾 GPU</x:v>
      </x:c>
    </x:row>
    <x:row r="13">
      <x:c r="A13" s="44" t="str">
        <x:v>第53-55天</x:v>
      </x:c>
      <x:c r="B13" s="44" t="str">
        <x:v>数据集与评估</x:v>
      </x:c>
      <x:c r="C13" s="44" t="str">
        <x:v>Python、JSONL、evals/</x:v>
      </x:c>
      <x:c r="D13" s="44" t="str">
        <x:v>构造数据、清洗、baseline</x:v>
      </x:c>
      <x:c r="E13" s="44" t="str">
        <x:v>微调前必须先有评估</x:v>
      </x:c>
    </x:row>
    <x:row r="14">
      <x:c r="A14" s="44" t="str">
        <x:v>第56-60天</x:v>
      </x:c>
      <x:c r="B14" s="44" t="str">
        <x:v>LoRA dry-run</x:v>
      </x:c>
      <x:c r="C14" s="44" t="str">
        <x:v>Colab/Kaggle/云 GPU、Unsloth/PEFT/TRL</x:v>
      </x:c>
      <x:c r="D14" s="44" t="str">
        <x:v>小步数训练、保存 adapter</x:v>
      </x:c>
      <x:c r="E14" s="44" t="str">
        <x:v>本地 Windows 不建议硬装训练环境</x:v>
      </x:c>
    </x:row>
    <x:row r="15">
      <x:c r="A15" s="44" t="str">
        <x:v>第61-65天</x:v>
      </x:c>
      <x:c r="B15" s="44" t="str">
        <x:v>评估与取舍</x:v>
      </x:c>
      <x:c r="C15" s="44" t="str">
        <x:v>评估表、对比输出、决策文档</x:v>
      </x:c>
      <x:c r="D15" s="44" t="str">
        <x:v>判断微调是否有效</x:v>
      </x:c>
      <x:c r="E15" s="44" t="str">
        <x:v>优先证据，不凭感觉</x:v>
      </x:c>
    </x:row>
    <x:row r="16">
      <x:c r="A16" s="44" t="str">
        <x:v>第66-70天</x:v>
      </x:c>
      <x:c r="B16" s="44" t="str">
        <x:v>工程化与复盘</x:v>
      </x:c>
      <x:c r="C16" s="44" t="str">
        <x:v>experiments/、模型卡、数据卡、部署草图</x:v>
      </x:c>
      <x:c r="D16" s="44" t="str">
        <x:v>可复现、可解释、可规划</x:v>
      </x:c>
      <x:c r="E16" s="44" t="str">
        <x:v>形成下一阶段路线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5" customWidth="1"/>
    <x:col min="2" max="2" width="120.6875" customWidth="1"/>
  </x:cols>
  <x:sheetData>
    <x:row r="1" ht="14.649999618530273">
      <x:c r="A1" s="5" t="s">
        <x:v>55</x:v>
      </x:c>
      <x:c r="B1" s="5" t="s">
        <x:v>56</x:v>
      </x:c>
    </x:row>
    <x:row r="2" ht="124.9000015258789">
      <x:c r="A2" s="1" t="s">
        <x:v>57</x:v>
      </x:c>
      <x:c r="B2" s="1" t="s">
        <x:v>58</x:v>
      </x:c>
    </x:row>
    <x:row r="3" ht="111">
      <x:c r="A3" s="1" t="s">
        <x:v>59</x:v>
      </x:c>
      <x:c r="B3" s="1" t="s">
        <x:v>60</x:v>
      </x:c>
    </x:row>
    <x:row r="4" ht="111">
      <x:c r="A4" s="1" t="s">
        <x:v>61</x:v>
      </x:c>
      <x:c r="B4" s="1" t="s">
        <x:v>62</x:v>
      </x:c>
    </x:row>
    <x:row r="5" ht="111">
      <x:c r="A5" s="1" t="s">
        <x:v>63</x:v>
      </x:c>
      <x:c r="B5" s="1" t="s">
        <x:v>64</x:v>
      </x:c>
    </x:row>
    <x:row r="6" ht="111">
      <x:c r="A6" s="1" t="s">
        <x:v>65</x:v>
      </x:c>
      <x:c r="B6" s="1" t="s">
        <x:v>66</x:v>
      </x:c>
    </x:row>
    <x:row r="7" ht="111">
      <x:c r="A7" s="1" t="s">
        <x:v>67</x:v>
      </x:c>
      <x:c r="B7" s="1" t="s">
        <x:v>68</x:v>
      </x:c>
    </x:row>
    <x:row r="8" ht="111">
      <x:c r="A8" s="1" t="s">
        <x:v>69</x:v>
      </x:c>
      <x:c r="B8" s="1" t="s">
        <x:v>70</x:v>
      </x:c>
    </x:row>
    <x:row r="9" ht="124.9000015258789">
      <x:c r="A9" s="1" t="s">
        <x:v>71</x:v>
      </x:c>
      <x:c r="B9" s="1" t="s">
        <x:v>72</x:v>
      </x:c>
    </x:row>
    <x:row r="10" ht="111">
      <x:c r="A10" s="1" t="s">
        <x:v>73</x:v>
      </x:c>
      <x:c r="B10" s="1" t="s">
        <x:v>74</x:v>
      </x:c>
    </x:row>
    <x:row r="11" ht="124.9000015258789">
      <x:c r="A11" s="1" t="s">
        <x:v>75</x:v>
      </x:c>
      <x:c r="B11" s="1" t="s">
        <x:v>76</x:v>
      </x:c>
    </x:row>
    <x:row r="12" ht="124.9000015258789">
      <x:c r="A12" s="1" t="s">
        <x:v>77</x:v>
      </x:c>
      <x:c r="B12" s="1" t="s">
        <x:v>78</x:v>
      </x:c>
    </x:row>
    <x:row r="13" ht="124.9000015258789">
      <x:c r="A13" s="1" t="s">
        <x:v>79</x:v>
      </x:c>
      <x:c r="B13" s="1" t="s">
        <x:v>80</x:v>
      </x:c>
    </x:row>
    <x:row r="14" ht="111">
      <x:c r="A14" s="1" t="s">
        <x:v>81</x:v>
      </x:c>
      <x:c r="B14" s="1" t="s">
        <x:v>82</x:v>
      </x:c>
    </x:row>
    <x:row r="15" ht="111">
      <x:c r="A15" s="1" t="s">
        <x:v>83</x:v>
      </x:c>
      <x:c r="B15" s="1" t="s">
        <x:v>84</x:v>
      </x:c>
    </x:row>
  </x:sheetData>
  <x:pageMargins left="0.7" right="0.7" top="0.75" bottom="0.75" header="0.3" footer="0.3"/>
  <x:tableParts count="1">
    <x:tablePart xmlns:r="http://schemas.openxmlformats.org/officeDocument/2006/relationships" r:id="Rc9a79f19acc640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2.125" customWidth="1"/>
    <x:col min="2" max="2" width="60.6875" customWidth="1"/>
    <x:col min="3" max="3" width="25" customWidth="1"/>
    <x:col min="4" max="4" width="13.5625" customWidth="1"/>
    <x:col min="5" max="5" width="30.6875" customWidth="1"/>
  </x:cols>
  <x:sheetData>
    <x:row r="1" ht="14.649999618530273">
      <x:c r="A1" s="4" t="s">
        <x:v>85</x:v>
      </x:c>
      <x:c r="B1" s="4" t="s">
        <x:v>86</x:v>
      </x:c>
      <x:c r="C1" s="4" t="s">
        <x:v>87</x:v>
      </x:c>
      <x:c r="D1" s="4" t="s">
        <x:v>88</x:v>
      </x:c>
      <x:c r="E1" s="4" t="s">
        <x:v>89</x:v>
      </x:c>
    </x:row>
    <x:row r="2" ht="14.25">
      <x:c r="A2" s="1" t="s">
        <x:v>57</x:v>
      </x:c>
      <x:c r="B2" s="1" t="s">
        <x:v>90</x:v>
      </x:c>
      <x:c r="C2" s="1" t="s">
        <x:v>91</x:v>
      </x:c>
      <x:c r="D2" s="1" t="s">
        <x:v>92</x:v>
      </x:c>
      <x:c r="E2" s="1"/>
    </x:row>
    <x:row r="3" ht="14.25">
      <x:c r="A3" s="1" t="s">
        <x:v>93</x:v>
      </x:c>
      <x:c r="B3" s="1" t="s">
        <x:v>94</x:v>
      </x:c>
      <x:c r="C3" s="1" t="s">
        <x:v>95</x:v>
      </x:c>
      <x:c r="D3" s="1" t="s">
        <x:v>92</x:v>
      </x:c>
      <x:c r="E3" s="1"/>
    </x:row>
    <x:row r="4" ht="14.25">
      <x:c r="A4" s="1" t="s">
        <x:v>96</x:v>
      </x:c>
      <x:c r="B4" s="1" t="s">
        <x:v>97</x:v>
      </x:c>
      <x:c r="C4" s="1" t="s">
        <x:v>98</x:v>
      </x:c>
      <x:c r="D4" s="1" t="s">
        <x:v>92</x:v>
      </x:c>
      <x:c r="E4" s="1"/>
    </x:row>
    <x:row r="5" ht="14.25">
      <x:c r="A5" s="1" t="s">
        <x:v>99</x:v>
      </x:c>
      <x:c r="B5" s="1" t="s">
        <x:v>100</x:v>
      </x:c>
      <x:c r="C5" s="1" t="s">
        <x:v>101</x:v>
      </x:c>
      <x:c r="D5" s="1" t="s">
        <x:v>92</x:v>
      </x:c>
      <x:c r="E5" s="1"/>
    </x:row>
    <x:row r="6" ht="14.25">
      <x:c r="A6" s="1" t="s">
        <x:v>102</x:v>
      </x:c>
      <x:c r="B6" s="1" t="s">
        <x:v>103</x:v>
      </x:c>
      <x:c r="C6" s="1" t="s">
        <x:v>104</x:v>
      </x:c>
      <x:c r="D6" s="1" t="s">
        <x:v>92</x:v>
      </x:c>
      <x:c r="E6" s="1"/>
    </x:row>
    <x:row r="7" ht="14.25">
      <x:c r="A7" s="1" t="s">
        <x:v>83</x:v>
      </x:c>
      <x:c r="B7" s="1" t="s">
        <x:v>105</x:v>
      </x:c>
      <x:c r="C7" s="1" t="s">
        <x:v>106</x:v>
      </x:c>
      <x:c r="D7" s="1" t="s">
        <x:v>92</x:v>
      </x:c>
      <x:c r="E7" s="1"/>
    </x:row>
    <x:row r="8" ht="14.25">
      <x:c r="A8" s="1" t="s">
        <x:v>107</x:v>
      </x:c>
      <x:c r="B8" s="1" t="s">
        <x:v>108</x:v>
      </x:c>
      <x:c r="C8" s="1" t="s">
        <x:v>109</x:v>
      </x:c>
      <x:c r="D8" s="1" t="s">
        <x:v>92</x:v>
      </x:c>
      <x:c r="E8" s="1"/>
    </x:row>
    <x:row r="9" ht="27.75">
      <x:c r="A9" s="1" t="s">
        <x:v>110</x:v>
      </x:c>
      <x:c r="B9" s="1" t="s">
        <x:v>111</x:v>
      </x:c>
      <x:c r="C9" s="1" t="s">
        <x:v>112</x:v>
      </x:c>
      <x:c r="D9" s="1" t="s">
        <x:v>92</x:v>
      </x:c>
      <x:c r="E9" s="1" t="s">
        <x:v>113</x:v>
      </x:c>
    </x:row>
  </x:sheetData>
  <x:dataValidations count="1">
    <x:dataValidation type="list" sqref="D2:D8">
      <x:formula1>"未开始,进行中,已完成,需修改"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7c3ecbcb7d48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0.6875" customWidth="1"/>
    <x:col min="2" max="2" width="7.125" customWidth="1"/>
    <x:col min="3" max="3" width="46.4375" customWidth="1"/>
    <x:col min="4" max="4" width="10.6875" customWidth="1"/>
    <x:col min="5" max="5" width="39.3125" customWidth="1"/>
    <x:col min="6" max="10" width="12.125" customWidth="1"/>
    <x:col min="11" max="11" width="13.5625" customWidth="1"/>
    <x:col min="12" max="12" width="50.6875" customWidth="1"/>
    <x:col min="13" max="13" width="26.4375" customWidth="1"/>
    <x:col min="14" max="14" width="17.875" customWidth="1"/>
    <x:col min="15" max="15" width="36.4375" customWidth="1"/>
    <x:col min="16" max="16" width="16.4375" customWidth="1"/>
  </x:cols>
  <x:sheetData>
    <x:row r="1" ht="15.75">
      <x:c r="A1" s="8" t="s">
        <x:v>114</x:v>
      </x:c>
      <x:c r="B1" s="8" t="s">
        <x:v>115</x:v>
      </x:c>
      <x:c r="C1" s="8" t="s">
        <x:v>116</x:v>
      </x:c>
      <x:c r="D1" s="8" t="s">
        <x:v>117</x:v>
      </x:c>
      <x:c r="E1" s="8" t="s">
        <x:v>118</x:v>
      </x:c>
      <x:c r="F1" s="8" t="s">
        <x:v>119</x:v>
      </x:c>
      <x:c r="G1" s="8" t="s">
        <x:v>120</x:v>
      </x:c>
      <x:c r="H1" s="8" t="s">
        <x:v>121</x:v>
      </x:c>
      <x:c r="I1" s="8" t="s">
        <x:v>122</x:v>
      </x:c>
      <x:c r="J1" s="8" t="s">
        <x:v>123</x:v>
      </x:c>
      <x:c r="K1" s="8" t="s">
        <x:v>124</x:v>
      </x:c>
      <x:c r="L1" s="8" t="s">
        <x:v>125</x:v>
      </x:c>
      <x:c r="M1" s="8" t="s">
        <x:v>126</x:v>
      </x:c>
      <x:c r="N1" s="8" t="s">
        <x:v>127</x:v>
      </x:c>
      <x:c r="O1" s="8" t="s">
        <x:v>128</x:v>
      </x:c>
      <x:c r="P1" s="8" t="s">
        <x:v>129</x:v>
      </x:c>
    </x:row>
    <x:row r="2" ht="30">
      <x:c r="A2" s="10" t="s">
        <x:v>130</x:v>
      </x:c>
      <x:c r="B2" s="10">
        <x:v>1</x:v>
      </x:c>
      <x:c r="C2" s="10" t="s">
        <x:v>131</x:v>
      </x:c>
      <x:c r="D2" s="10" t="e">
        <x:f>HYPERLINK("https://www.bilibili.com/video/BV1VEA8zYE6f","打开")</x:f>
      </x:c>
      <x:c r="E2" s="10" t="s">
        <x:v>132</x:v>
      </x:c>
      <x:c r="F2" s="10" t="s">
        <x:v>133</x:v>
      </x:c>
      <x:c r="G2" s="10" t="s">
        <x:v>134</x:v>
      </x:c>
      <x:c r="H2" s="10" t="s">
        <x:v>135</x:v>
      </x:c>
      <x:c r="I2" s="10" t="s">
        <x:v>136</x:v>
      </x:c>
      <x:c r="J2" s="10" t="s">
        <x:v>137</x:v>
      </x:c>
      <x:c r="K2" s="10">
        <x:v>16178</x:v>
      </x:c>
      <x:c r="L2" s="10" t="s">
        <x:v>138</x:v>
      </x:c>
      <x:c r="M2" s="10" t="s">
        <x:v>139</x:v>
      </x:c>
      <x:c r="N2" s="10" t="s">
        <x:v>140</x:v>
      </x:c>
      <x:c r="O2" s="10" t="s">
        <x:v>141</x:v>
      </x:c>
      <x:c r="P2" s="10" t="s">
        <x:v>142</x:v>
      </x:c>
    </x:row>
    <x:row r="3" ht="30">
      <x:c r="A3" s="10" t="s">
        <x:v>130</x:v>
      </x:c>
      <x:c r="B3" s="10">
        <x:v>2</x:v>
      </x:c>
      <x:c r="C3" s="10" t="s">
        <x:v>143</x:v>
      </x:c>
      <x:c r="D3" s="10" t="e">
        <x:f>HYPERLINK("https://www.bilibili.com/video/BV1Epz3YNEPL","打开")</x:f>
      </x:c>
      <x:c r="E3" s="10" t="s">
        <x:v>144</x:v>
      </x:c>
      <x:c r="F3" s="10" t="s">
        <x:v>145</x:v>
      </x:c>
      <x:c r="G3" s="10" t="s">
        <x:v>146</x:v>
      </x:c>
      <x:c r="H3" s="10" t="s">
        <x:v>147</x:v>
      </x:c>
      <x:c r="I3" s="10" t="s">
        <x:v>148</x:v>
      </x:c>
      <x:c r="J3" s="10" t="s">
        <x:v>149</x:v>
      </x:c>
      <x:c r="K3" s="10">
        <x:v>2131</x:v>
      </x:c>
      <x:c r="L3" s="10" t="s">
        <x:v>150</x:v>
      </x:c>
      <x:c r="M3" s="10" t="s">
        <x:v>139</x:v>
      </x:c>
      <x:c r="N3" s="10" t="s">
        <x:v>140</x:v>
      </x:c>
      <x:c r="O3" s="10" t="s">
        <x:v>141</x:v>
      </x:c>
      <x:c r="P3" s="10" t="s">
        <x:v>142</x:v>
      </x:c>
    </x:row>
    <x:row r="4" ht="30">
      <x:c r="A4" s="10" t="s">
        <x:v>130</x:v>
      </x:c>
      <x:c r="B4" s="10">
        <x:v>3</x:v>
      </x:c>
      <x:c r="C4" s="10" t="s">
        <x:v>151</x:v>
      </x:c>
      <x:c r="D4" s="10" t="e">
        <x:f>HYPERLINK("https://www.bilibili.com/video/BV1kJrUYUEUi","打开")</x:f>
      </x:c>
      <x:c r="E4" s="10" t="s">
        <x:v>152</x:v>
      </x:c>
      <x:c r="F4" s="10" t="s">
        <x:v>153</x:v>
      </x:c>
      <x:c r="G4" s="10" t="s">
        <x:v>154</x:v>
      </x:c>
      <x:c r="H4" s="10" t="s">
        <x:v>155</x:v>
      </x:c>
      <x:c r="I4" s="10" t="s">
        <x:v>156</x:v>
      </x:c>
      <x:c r="J4" s="10" t="s">
        <x:v>157</x:v>
      </x:c>
      <x:c r="K4" s="10">
        <x:v>547</x:v>
      </x:c>
      <x:c r="L4" s="10" t="s">
        <x:v>158</x:v>
      </x:c>
      <x:c r="M4" s="10" t="s">
        <x:v>139</x:v>
      </x:c>
      <x:c r="N4" s="10" t="s">
        <x:v>140</x:v>
      </x:c>
      <x:c r="O4" s="10" t="s">
        <x:v>141</x:v>
      </x:c>
      <x:c r="P4" s="10" t="s">
        <x:v>159</x:v>
      </x:c>
    </x:row>
    <x:row r="5" ht="30">
      <x:c r="A5" s="10" t="s">
        <x:v>130</x:v>
      </x:c>
      <x:c r="B5" s="10">
        <x:v>4</x:v>
      </x:c>
      <x:c r="C5" s="10" t="s">
        <x:v>160</x:v>
      </x:c>
      <x:c r="D5" s="10" t="e">
        <x:f>HYPERLINK("https://www.bilibili.com/video/BV1pG2YBjEpT","打开")</x:f>
      </x:c>
      <x:c r="E5" s="10" t="s">
        <x:v>161</x:v>
      </x:c>
      <x:c r="F5" s="10" t="s">
        <x:v>162</x:v>
      </x:c>
      <x:c r="G5" s="10" t="s">
        <x:v>163</x:v>
      </x:c>
      <x:c r="H5" s="10" t="s">
        <x:v>164</x:v>
      </x:c>
      <x:c r="I5" s="10" t="s">
        <x:v>165</x:v>
      </x:c>
      <x:c r="J5" s="10" t="s">
        <x:v>166</x:v>
      </x:c>
      <x:c r="K5" s="10">
        <x:v>242</x:v>
      </x:c>
      <x:c r="L5" s="10" t="s">
        <x:v>167</x:v>
      </x:c>
      <x:c r="M5" s="10" t="s">
        <x:v>139</x:v>
      </x:c>
      <x:c r="N5" s="10" t="s">
        <x:v>140</x:v>
      </x:c>
      <x:c r="O5" s="10" t="s">
        <x:v>141</x:v>
      </x:c>
      <x:c r="P5" s="10" t="s">
        <x:v>159</x:v>
      </x:c>
    </x:row>
    <x:row r="6" ht="30">
      <x:c r="A6" s="10" t="s">
        <x:v>130</x:v>
      </x:c>
      <x:c r="B6" s="10">
        <x:v>5</x:v>
      </x:c>
      <x:c r="C6" s="10" t="s">
        <x:v>168</x:v>
      </x:c>
      <x:c r="D6" s="10" t="e">
        <x:f>HYPERLINK("https://www.bilibili.com/video/BV1AiEsz6ETX","打开")</x:f>
      </x:c>
      <x:c r="E6" s="10" t="s">
        <x:v>169</x:v>
      </x:c>
      <x:c r="F6" s="10" t="s">
        <x:v>170</x:v>
      </x:c>
      <x:c r="G6" s="10" t="s">
        <x:v>171</x:v>
      </x:c>
      <x:c r="H6" s="10"/>
      <x:c r="I6" s="10"/>
      <x:c r="J6" s="10"/>
      <x:c r="K6" s="10">
        <x:v>21</x:v>
      </x:c>
      <x:c r="L6" s="10" t="s">
        <x:v>172</x:v>
      </x:c>
      <x:c r="M6" s="10" t="s">
        <x:v>139</x:v>
      </x:c>
      <x:c r="N6" s="10" t="s">
        <x:v>173</x:v>
      </x:c>
      <x:c r="O6" s="10" t="s">
        <x:v>141</x:v>
      </x:c>
      <x:c r="P6" s="10" t="s">
        <x:v>159</x:v>
      </x:c>
    </x:row>
    <x:row r="7" ht="30">
      <x:c r="A7" s="10" t="s">
        <x:v>174</x:v>
      </x:c>
      <x:c r="B7" s="10">
        <x:v>1</x:v>
      </x:c>
      <x:c r="C7" s="10" t="s">
        <x:v>175</x:v>
      </x:c>
      <x:c r="D7" s="10" t="e">
        <x:f>HYPERLINK("https://www.bilibili.com/video/BV1dt4y1J7ov","打开")</x:f>
      </x:c>
      <x:c r="E7" s="10" t="s">
        <x:v>176</x:v>
      </x:c>
      <x:c r="F7" s="10" t="s">
        <x:v>177</x:v>
      </x:c>
      <x:c r="G7" s="10" t="s">
        <x:v>178</x:v>
      </x:c>
      <x:c r="H7" s="10" t="s">
        <x:v>179</x:v>
      </x:c>
      <x:c r="I7" s="10" t="s">
        <x:v>179</x:v>
      </x:c>
      <x:c r="J7" s="10" t="s">
        <x:v>180</x:v>
      </x:c>
      <x:c r="K7" s="10">
        <x:v>56120</x:v>
      </x:c>
      <x:c r="L7" s="10" t="s">
        <x:v>181</x:v>
      </x:c>
      <x:c r="M7" s="10" t="s">
        <x:v>139</x:v>
      </x:c>
      <x:c r="N7" s="10" t="s">
        <x:v>140</x:v>
      </x:c>
      <x:c r="O7" s="10" t="s">
        <x:v>141</x:v>
      </x:c>
      <x:c r="P7" s="10" t="s">
        <x:v>142</x:v>
      </x:c>
    </x:row>
    <x:row r="8" ht="30">
      <x:c r="A8" s="10" t="s">
        <x:v>174</x:v>
      </x:c>
      <x:c r="B8" s="10">
        <x:v>2</x:v>
      </x:c>
      <x:c r="C8" s="10" t="s">
        <x:v>182</x:v>
      </x:c>
      <x:c r="D8" s="10" t="e">
        <x:f>HYPERLINK("https://www.bilibili.com/video/BV16f1mB7Ebj","打开")</x:f>
      </x:c>
      <x:c r="E8" s="10" t="s">
        <x:v>183</x:v>
      </x:c>
      <x:c r="F8" s="10" t="s">
        <x:v>184</x:v>
      </x:c>
      <x:c r="G8" s="10" t="s">
        <x:v>185</x:v>
      </x:c>
      <x:c r="H8" s="10" t="s">
        <x:v>186</x:v>
      </x:c>
      <x:c r="I8" s="10" t="s">
        <x:v>187</x:v>
      </x:c>
      <x:c r="J8" s="10" t="s">
        <x:v>188</x:v>
      </x:c>
      <x:c r="K8" s="10">
        <x:v>11088</x:v>
      </x:c>
      <x:c r="L8" s="10" t="s">
        <x:v>189</x:v>
      </x:c>
      <x:c r="M8" s="10" t="s">
        <x:v>139</x:v>
      </x:c>
      <x:c r="N8" s="10" t="s">
        <x:v>140</x:v>
      </x:c>
      <x:c r="O8" s="10" t="s">
        <x:v>141</x:v>
      </x:c>
      <x:c r="P8" s="10" t="s">
        <x:v>142</x:v>
      </x:c>
    </x:row>
    <x:row r="9" ht="30">
      <x:c r="A9" s="10" t="s">
        <x:v>174</x:v>
      </x:c>
      <x:c r="B9" s="10">
        <x:v>3</x:v>
      </x:c>
      <x:c r="C9" s="10" t="s">
        <x:v>190</x:v>
      </x:c>
      <x:c r="D9" s="10" t="e">
        <x:f>HYPERLINK("https://www.bilibili.com/video/BV1Ff4y187nr","打开")</x:f>
      </x:c>
      <x:c r="E9" s="10" t="s">
        <x:v>191</x:v>
      </x:c>
      <x:c r="F9" s="10" t="s">
        <x:v>192</x:v>
      </x:c>
      <x:c r="G9" s="10" t="s">
        <x:v>193</x:v>
      </x:c>
      <x:c r="H9" s="10" t="s">
        <x:v>194</x:v>
      </x:c>
      <x:c r="I9" s="10" t="s">
        <x:v>195</x:v>
      </x:c>
      <x:c r="J9" s="10" t="s">
        <x:v>196</x:v>
      </x:c>
      <x:c r="K9" s="10">
        <x:v>9694</x:v>
      </x:c>
      <x:c r="L9" s="10" t="s">
        <x:v>197</x:v>
      </x:c>
      <x:c r="M9" s="10" t="s">
        <x:v>139</x:v>
      </x:c>
      <x:c r="N9" s="10" t="s">
        <x:v>140</x:v>
      </x:c>
      <x:c r="O9" s="10" t="s">
        <x:v>141</x:v>
      </x:c>
      <x:c r="P9" s="10" t="s">
        <x:v>159</x:v>
      </x:c>
    </x:row>
    <x:row r="10" ht="30">
      <x:c r="A10" s="10" t="s">
        <x:v>174</x:v>
      </x:c>
      <x:c r="B10" s="10">
        <x:v>4</x:v>
      </x:c>
      <x:c r="C10" s="10" t="s">
        <x:v>198</x:v>
      </x:c>
      <x:c r="D10" s="10" t="e">
        <x:f>HYPERLINK("https://www.bilibili.com/video/BV1bu4m137W1","打开")</x:f>
      </x:c>
      <x:c r="E10" s="10" t="s">
        <x:v>199</x:v>
      </x:c>
      <x:c r="F10" s="10" t="s">
        <x:v>200</x:v>
      </x:c>
      <x:c r="G10" s="10" t="s">
        <x:v>201</x:v>
      </x:c>
      <x:c r="H10" s="10" t="s">
        <x:v>202</x:v>
      </x:c>
      <x:c r="I10" s="10" t="s">
        <x:v>203</x:v>
      </x:c>
      <x:c r="J10" s="10" t="s">
        <x:v>204</x:v>
      </x:c>
      <x:c r="K10" s="10">
        <x:v>5323</x:v>
      </x:c>
      <x:c r="L10" s="10" t="s">
        <x:v>205</x:v>
      </x:c>
      <x:c r="M10" s="10" t="s">
        <x:v>139</x:v>
      </x:c>
      <x:c r="N10" s="10" t="s">
        <x:v>140</x:v>
      </x:c>
      <x:c r="O10" s="10" t="s">
        <x:v>141</x:v>
      </x:c>
      <x:c r="P10" s="10" t="s">
        <x:v>159</x:v>
      </x:c>
    </x:row>
    <x:row r="11" ht="30">
      <x:c r="A11" s="10" t="s">
        <x:v>174</x:v>
      </x:c>
      <x:c r="B11" s="10">
        <x:v>5</x:v>
      </x:c>
      <x:c r="C11" s="10" t="s">
        <x:v>206</x:v>
      </x:c>
      <x:c r="D11" s="10" t="e">
        <x:f>HYPERLINK("https://www.bilibili.com/video/BV1sw4m1k7Gt","打开")</x:f>
      </x:c>
      <x:c r="E11" s="10" t="s">
        <x:v>207</x:v>
      </x:c>
      <x:c r="F11" s="10" t="s">
        <x:v>208</x:v>
      </x:c>
      <x:c r="G11" s="10" t="s">
        <x:v>209</x:v>
      </x:c>
      <x:c r="H11" s="10" t="s">
        <x:v>210</x:v>
      </x:c>
      <x:c r="I11" s="10" t="s">
        <x:v>211</x:v>
      </x:c>
      <x:c r="J11" s="10" t="s">
        <x:v>212</x:v>
      </x:c>
      <x:c r="K11" s="10">
        <x:v>5175</x:v>
      </x:c>
      <x:c r="L11" s="10" t="s">
        <x:v>213</x:v>
      </x:c>
      <x:c r="M11" s="10" t="s">
        <x:v>139</x:v>
      </x:c>
      <x:c r="N11" s="10" t="s">
        <x:v>140</x:v>
      </x:c>
      <x:c r="O11" s="10" t="s">
        <x:v>141</x:v>
      </x:c>
      <x:c r="P11" s="10" t="s">
        <x:v>159</x:v>
      </x:c>
    </x:row>
    <x:row r="12" ht="30">
      <x:c r="A12" s="10" t="s">
        <x:v>214</x:v>
      </x:c>
      <x:c r="B12" s="10">
        <x:v>1</x:v>
      </x:c>
      <x:c r="C12" s="10" t="s">
        <x:v>215</x:v>
      </x:c>
      <x:c r="D12" s="10" t="e">
        <x:f>HYPERLINK("https://www.bilibili.com/video/BV1SMfKB7E9c","打开")</x:f>
      </x:c>
      <x:c r="E12" s="10" t="s">
        <x:v>216</x:v>
      </x:c>
      <x:c r="F12" s="10" t="s">
        <x:v>217</x:v>
      </x:c>
      <x:c r="G12" s="10" t="s">
        <x:v>218</x:v>
      </x:c>
      <x:c r="H12" s="10" t="s">
        <x:v>219</x:v>
      </x:c>
      <x:c r="I12" s="10" t="s">
        <x:v>220</x:v>
      </x:c>
      <x:c r="J12" s="10" t="s">
        <x:v>221</x:v>
      </x:c>
      <x:c r="K12" s="10">
        <x:v>3537</x:v>
      </x:c>
      <x:c r="L12" s="10" t="s">
        <x:v>222</x:v>
      </x:c>
      <x:c r="M12" s="10" t="s">
        <x:v>139</x:v>
      </x:c>
      <x:c r="N12" s="10" t="s">
        <x:v>140</x:v>
      </x:c>
      <x:c r="O12" s="10" t="s">
        <x:v>141</x:v>
      </x:c>
      <x:c r="P12" s="10" t="s">
        <x:v>142</x:v>
      </x:c>
    </x:row>
    <x:row r="13" ht="30">
      <x:c r="A13" s="10" t="s">
        <x:v>214</x:v>
      </x:c>
      <x:c r="B13" s="10">
        <x:v>2</x:v>
      </x:c>
      <x:c r="C13" s="10" t="s">
        <x:v>223</x:v>
      </x:c>
      <x:c r="D13" s="10" t="e">
        <x:f>HYPERLINK("https://www.bilibili.com/video/BV1Qv42167ZU","打开")</x:f>
      </x:c>
      <x:c r="E13" s="10" t="s">
        <x:v>224</x:v>
      </x:c>
      <x:c r="F13" s="10" t="s">
        <x:v>179</x:v>
      </x:c>
      <x:c r="G13" s="10" t="s">
        <x:v>155</x:v>
      </x:c>
      <x:c r="H13" s="10" t="s">
        <x:v>225</x:v>
      </x:c>
      <x:c r="I13" s="10" t="s">
        <x:v>226</x:v>
      </x:c>
      <x:c r="J13" s="10" t="s">
        <x:v>227</x:v>
      </x:c>
      <x:c r="K13" s="10">
        <x:v>1173</x:v>
      </x:c>
      <x:c r="L13" s="10" t="s">
        <x:v>228</x:v>
      </x:c>
      <x:c r="M13" s="10" t="s">
        <x:v>139</x:v>
      </x:c>
      <x:c r="N13" s="10" t="s">
        <x:v>140</x:v>
      </x:c>
      <x:c r="O13" s="10" t="s">
        <x:v>141</x:v>
      </x:c>
      <x:c r="P13" s="10" t="s">
        <x:v>142</x:v>
      </x:c>
    </x:row>
    <x:row r="14" ht="30">
      <x:c r="A14" s="10" t="s">
        <x:v>214</x:v>
      </x:c>
      <x:c r="B14" s="10">
        <x:v>3</x:v>
      </x:c>
      <x:c r="C14" s="10" t="s">
        <x:v>229</x:v>
      </x:c>
      <x:c r="D14" s="10" t="e">
        <x:f>HYPERLINK("https://www.bilibili.com/video/BV1oYcDzdE5f","打开")</x:f>
      </x:c>
      <x:c r="E14" s="10" t="s">
        <x:v>230</x:v>
      </x:c>
      <x:c r="F14" s="10" t="s">
        <x:v>231</x:v>
      </x:c>
      <x:c r="G14" s="10" t="s">
        <x:v>232</x:v>
      </x:c>
      <x:c r="H14" s="10" t="s">
        <x:v>233</x:v>
      </x:c>
      <x:c r="I14" s="10" t="s">
        <x:v>234</x:v>
      </x:c>
      <x:c r="J14" s="10" t="s">
        <x:v>235</x:v>
      </x:c>
      <x:c r="K14" s="10">
        <x:v>1027</x:v>
      </x:c>
      <x:c r="L14" s="10" t="s">
        <x:v>236</x:v>
      </x:c>
      <x:c r="M14" s="10" t="s">
        <x:v>139</x:v>
      </x:c>
      <x:c r="N14" s="10" t="s">
        <x:v>140</x:v>
      </x:c>
      <x:c r="O14" s="10" t="s">
        <x:v>141</x:v>
      </x:c>
      <x:c r="P14" s="10" t="s">
        <x:v>159</x:v>
      </x:c>
    </x:row>
    <x:row r="15" ht="30">
      <x:c r="A15" s="10" t="s">
        <x:v>214</x:v>
      </x:c>
      <x:c r="B15" s="10">
        <x:v>4</x:v>
      </x:c>
      <x:c r="C15" s="10" t="s">
        <x:v>237</x:v>
      </x:c>
      <x:c r="D15" s="10" t="e">
        <x:f>HYPERLINK("https://www.bilibili.com/video/BV1mp2dYtEAs","打开")</x:f>
      </x:c>
      <x:c r="E15" s="10" t="s">
        <x:v>238</x:v>
      </x:c>
      <x:c r="F15" s="10" t="s">
        <x:v>239</x:v>
      </x:c>
      <x:c r="G15" s="10" t="s">
        <x:v>240</x:v>
      </x:c>
      <x:c r="H15" s="10" t="s">
        <x:v>241</x:v>
      </x:c>
      <x:c r="I15" s="10" t="s">
        <x:v>164</x:v>
      </x:c>
      <x:c r="J15" s="10" t="s">
        <x:v>242</x:v>
      </x:c>
      <x:c r="K15" s="10">
        <x:v>539</x:v>
      </x:c>
      <x:c r="L15" s="10" t="s">
        <x:v>243</x:v>
      </x:c>
      <x:c r="M15" s="10" t="s">
        <x:v>139</x:v>
      </x:c>
      <x:c r="N15" s="10" t="s">
        <x:v>140</x:v>
      </x:c>
      <x:c r="O15" s="10" t="s">
        <x:v>141</x:v>
      </x:c>
      <x:c r="P15" s="10" t="s">
        <x:v>159</x:v>
      </x:c>
    </x:row>
    <x:row r="16" ht="30">
      <x:c r="A16" s="10" t="s">
        <x:v>214</x:v>
      </x:c>
      <x:c r="B16" s="10">
        <x:v>5</x:v>
      </x:c>
      <x:c r="C16" s="10" t="s">
        <x:v>244</x:v>
      </x:c>
      <x:c r="D16" s="10" t="e">
        <x:f>HYPERLINK("https://www.bilibili.com/video/BV1SJm8YtETd","打开")</x:f>
      </x:c>
      <x:c r="E16" s="10" t="s">
        <x:v>245</x:v>
      </x:c>
      <x:c r="F16" s="10" t="s">
        <x:v>246</x:v>
      </x:c>
      <x:c r="G16" s="10" t="s">
        <x:v>247</x:v>
      </x:c>
      <x:c r="H16" s="10" t="s">
        <x:v>248</x:v>
      </x:c>
      <x:c r="I16" s="10" t="s">
        <x:v>249</x:v>
      </x:c>
      <x:c r="J16" s="10" t="s">
        <x:v>250</x:v>
      </x:c>
      <x:c r="K16" s="10">
        <x:v>379</x:v>
      </x:c>
      <x:c r="L16" s="10" t="s">
        <x:v>251</x:v>
      </x:c>
      <x:c r="M16" s="10" t="s">
        <x:v>139</x:v>
      </x:c>
      <x:c r="N16" s="10" t="s">
        <x:v>140</x:v>
      </x:c>
      <x:c r="O16" s="10" t="s">
        <x:v>141</x:v>
      </x:c>
      <x:c r="P16" s="10" t="s">
        <x:v>159</x:v>
      </x:c>
    </x:row>
    <x:row r="17" ht="30">
      <x:c r="A17" s="10" t="s">
        <x:v>67</x:v>
      </x:c>
      <x:c r="B17" s="10">
        <x:v>1</x:v>
      </x:c>
      <x:c r="C17" s="10" t="s">
        <x:v>252</x:v>
      </x:c>
      <x:c r="D17" s="10" t="e">
        <x:f>HYPERLINK("https://www.bilibili.com/video/BV1aDVhzdE6S","打开")</x:f>
      </x:c>
      <x:c r="E17" s="10" t="s">
        <x:v>253</x:v>
      </x:c>
      <x:c r="F17" s="10" t="s">
        <x:v>254</x:v>
      </x:c>
      <x:c r="G17" s="10" t="s">
        <x:v>255</x:v>
      </x:c>
      <x:c r="H17" s="10" t="s">
        <x:v>256</x:v>
      </x:c>
      <x:c r="I17" s="10" t="s">
        <x:v>257</x:v>
      </x:c>
      <x:c r="J17" s="10" t="s">
        <x:v>179</x:v>
      </x:c>
      <x:c r="K17" s="10">
        <x:v>34312</x:v>
      </x:c>
      <x:c r="L17" s="10" t="s">
        <x:v>258</x:v>
      </x:c>
      <x:c r="M17" s="10" t="s">
        <x:v>139</x:v>
      </x:c>
      <x:c r="N17" s="10" t="s">
        <x:v>140</x:v>
      </x:c>
      <x:c r="O17" s="10" t="s">
        <x:v>141</x:v>
      </x:c>
      <x:c r="P17" s="10" t="s">
        <x:v>142</x:v>
      </x:c>
    </x:row>
    <x:row r="18" ht="30">
      <x:c r="A18" s="10" t="s">
        <x:v>67</x:v>
      </x:c>
      <x:c r="B18" s="10">
        <x:v>2</x:v>
      </x:c>
      <x:c r="C18" s="10" t="s">
        <x:v>259</x:v>
      </x:c>
      <x:c r="D18" s="10" t="e">
        <x:f>HYPERLINK("https://www.bilibili.com/video/BV1eYPpeWEnT","打开")</x:f>
      </x:c>
      <x:c r="E18" s="10" t="s">
        <x:v>260</x:v>
      </x:c>
      <x:c r="F18" s="10" t="s">
        <x:v>261</x:v>
      </x:c>
      <x:c r="G18" s="10" t="s">
        <x:v>262</x:v>
      </x:c>
      <x:c r="H18" s="10" t="s">
        <x:v>263</x:v>
      </x:c>
      <x:c r="I18" s="10" t="s">
        <x:v>264</x:v>
      </x:c>
      <x:c r="J18" s="10" t="s">
        <x:v>265</x:v>
      </x:c>
      <x:c r="K18" s="10">
        <x:v>15219</x:v>
      </x:c>
      <x:c r="L18" s="10" t="s">
        <x:v>266</x:v>
      </x:c>
      <x:c r="M18" s="10" t="s">
        <x:v>139</x:v>
      </x:c>
      <x:c r="N18" s="10" t="s">
        <x:v>140</x:v>
      </x:c>
      <x:c r="O18" s="10" t="s">
        <x:v>141</x:v>
      </x:c>
      <x:c r="P18" s="10" t="s">
        <x:v>142</x:v>
      </x:c>
    </x:row>
    <x:row r="19" ht="30">
      <x:c r="A19" s="10" t="s">
        <x:v>67</x:v>
      </x:c>
      <x:c r="B19" s="10">
        <x:v>3</x:v>
      </x:c>
      <x:c r="C19" s="10" t="s">
        <x:v>267</x:v>
      </x:c>
      <x:c r="D19" s="10" t="e">
        <x:f>HYPERLINK("https://www.bilibili.com/video/BV1vHVuzTEiV","打开")</x:f>
      </x:c>
      <x:c r="E19" s="10" t="s">
        <x:v>268</x:v>
      </x:c>
      <x:c r="F19" s="10" t="s">
        <x:v>269</x:v>
      </x:c>
      <x:c r="G19" s="10" t="s">
        <x:v>270</x:v>
      </x:c>
      <x:c r="H19" s="10" t="s">
        <x:v>271</x:v>
      </x:c>
      <x:c r="I19" s="10" t="s">
        <x:v>272</x:v>
      </x:c>
      <x:c r="J19" s="10" t="s">
        <x:v>273</x:v>
      </x:c>
      <x:c r="K19" s="10">
        <x:v>5712</x:v>
      </x:c>
      <x:c r="L19" s="10" t="s">
        <x:v>274</x:v>
      </x:c>
      <x:c r="M19" s="10" t="s">
        <x:v>139</x:v>
      </x:c>
      <x:c r="N19" s="10" t="s">
        <x:v>140</x:v>
      </x:c>
      <x:c r="O19" s="10" t="s">
        <x:v>141</x:v>
      </x:c>
      <x:c r="P19" s="10" t="s">
        <x:v>159</x:v>
      </x:c>
    </x:row>
    <x:row r="20" ht="30">
      <x:c r="A20" s="10" t="s">
        <x:v>67</x:v>
      </x:c>
      <x:c r="B20" s="10">
        <x:v>4</x:v>
      </x:c>
      <x:c r="C20" s="10" t="s">
        <x:v>275</x:v>
      </x:c>
      <x:c r="D20" s="10" t="e">
        <x:f>HYPERLINK("https://www.bilibili.com/video/BV11MEHzwEp6","打开")</x:f>
      </x:c>
      <x:c r="E20" s="10" t="s">
        <x:v>276</x:v>
      </x:c>
      <x:c r="F20" s="10" t="s">
        <x:v>277</x:v>
      </x:c>
      <x:c r="G20" s="10" t="s">
        <x:v>218</x:v>
      </x:c>
      <x:c r="H20" s="10" t="s">
        <x:v>278</x:v>
      </x:c>
      <x:c r="I20" s="10" t="s">
        <x:v>279</x:v>
      </x:c>
      <x:c r="J20" s="10" t="s">
        <x:v>280</x:v>
      </x:c>
      <x:c r="K20" s="10">
        <x:v>1795</x:v>
      </x:c>
      <x:c r="L20" s="10" t="s">
        <x:v>281</x:v>
      </x:c>
      <x:c r="M20" s="10" t="s">
        <x:v>139</x:v>
      </x:c>
      <x:c r="N20" s="10" t="s">
        <x:v>140</x:v>
      </x:c>
      <x:c r="O20" s="10" t="s">
        <x:v>141</x:v>
      </x:c>
      <x:c r="P20" s="10" t="s">
        <x:v>159</x:v>
      </x:c>
    </x:row>
    <x:row r="21" ht="30">
      <x:c r="A21" s="10" t="s">
        <x:v>67</x:v>
      </x:c>
      <x:c r="B21" s="10">
        <x:v>5</x:v>
      </x:c>
      <x:c r="C21" s="10" t="s">
        <x:v>282</x:v>
      </x:c>
      <x:c r="D21" s="10" t="e">
        <x:f>HYPERLINK("https://www.bilibili.com/video/BV1tPs6zuEMX","打开")</x:f>
      </x:c>
      <x:c r="E21" s="10" t="s">
        <x:v>283</x:v>
      </x:c>
      <x:c r="F21" s="10" t="s">
        <x:v>284</x:v>
      </x:c>
      <x:c r="G21" s="10" t="s">
        <x:v>285</x:v>
      </x:c>
      <x:c r="H21" s="10" t="s">
        <x:v>286</x:v>
      </x:c>
      <x:c r="I21" s="10"/>
      <x:c r="J21" s="10" t="s">
        <x:v>287</x:v>
      </x:c>
      <x:c r="K21" s="10">
        <x:v>42</x:v>
      </x:c>
      <x:c r="L21" s="10" t="s">
        <x:v>288</x:v>
      </x:c>
      <x:c r="M21" s="10" t="s">
        <x:v>139</x:v>
      </x:c>
      <x:c r="N21" s="10" t="s">
        <x:v>140</x:v>
      </x:c>
      <x:c r="O21" s="10" t="s">
        <x:v>141</x:v>
      </x:c>
      <x:c r="P21" s="10" t="s">
        <x:v>159</x:v>
      </x:c>
    </x:row>
    <x:row r="22" ht="30">
      <x:c r="A22" s="10" t="s">
        <x:v>69</x:v>
      </x:c>
      <x:c r="B22" s="10">
        <x:v>1</x:v>
      </x:c>
      <x:c r="C22" s="10" t="s">
        <x:v>289</x:v>
      </x:c>
      <x:c r="D22" s="10" t="e">
        <x:f>HYPERLINK("https://www.bilibili.com/video/BV1iD4y1f7Ga","打开")</x:f>
      </x:c>
      <x:c r="E22" s="10" t="s">
        <x:v>290</x:v>
      </x:c>
      <x:c r="F22" s="10" t="s">
        <x:v>291</x:v>
      </x:c>
      <x:c r="G22" s="10" t="s">
        <x:v>292</x:v>
      </x:c>
      <x:c r="H22" s="10" t="s">
        <x:v>293</x:v>
      </x:c>
      <x:c r="I22" s="10" t="s">
        <x:v>294</x:v>
      </x:c>
      <x:c r="J22" s="10" t="s">
        <x:v>295</x:v>
      </x:c>
      <x:c r="K22" s="10">
        <x:v>3638</x:v>
      </x:c>
      <x:c r="L22" s="10" t="s">
        <x:v>296</x:v>
      </x:c>
      <x:c r="M22" s="10" t="s">
        <x:v>139</x:v>
      </x:c>
      <x:c r="N22" s="10" t="s">
        <x:v>140</x:v>
      </x:c>
      <x:c r="O22" s="10" t="s">
        <x:v>141</x:v>
      </x:c>
      <x:c r="P22" s="10" t="s">
        <x:v>142</x:v>
      </x:c>
    </x:row>
    <x:row r="23" ht="30">
      <x:c r="A23" s="10" t="s">
        <x:v>69</x:v>
      </x:c>
      <x:c r="B23" s="10">
        <x:v>2</x:v>
      </x:c>
      <x:c r="C23" s="10" t="s">
        <x:v>297</x:v>
      </x:c>
      <x:c r="D23" s="10" t="e">
        <x:f>HYPERLINK("https://www.bilibili.com/video/BV1ancBzjEWi","打开")</x:f>
      </x:c>
      <x:c r="E23" s="10" t="s">
        <x:v>298</x:v>
      </x:c>
      <x:c r="F23" s="10" t="s">
        <x:v>299</x:v>
      </x:c>
      <x:c r="G23" s="10" t="s">
        <x:v>300</x:v>
      </x:c>
      <x:c r="H23" s="10" t="s">
        <x:v>301</x:v>
      </x:c>
      <x:c r="I23" s="10" t="s">
        <x:v>302</x:v>
      </x:c>
      <x:c r="J23" s="10" t="s">
        <x:v>303</x:v>
      </x:c>
      <x:c r="K23" s="10">
        <x:v>3630</x:v>
      </x:c>
      <x:c r="L23" s="10" t="s">
        <x:v>304</x:v>
      </x:c>
      <x:c r="M23" s="10" t="s">
        <x:v>139</x:v>
      </x:c>
      <x:c r="N23" s="10" t="s">
        <x:v>140</x:v>
      </x:c>
      <x:c r="O23" s="10" t="s">
        <x:v>141</x:v>
      </x:c>
      <x:c r="P23" s="10" t="s">
        <x:v>142</x:v>
      </x:c>
    </x:row>
    <x:row r="24" ht="30">
      <x:c r="A24" s="10" t="s">
        <x:v>69</x:v>
      </x:c>
      <x:c r="B24" s="10">
        <x:v>3</x:v>
      </x:c>
      <x:c r="C24" s="10" t="s">
        <x:v>305</x:v>
      </x:c>
      <x:c r="D24" s="10" t="e">
        <x:f>HYPERLINK("https://www.bilibili.com/video/BV1PaWgz1Eu6","打开")</x:f>
      </x:c>
      <x:c r="E24" s="10" t="s">
        <x:v>306</x:v>
      </x:c>
      <x:c r="F24" s="10" t="s">
        <x:v>307</x:v>
      </x:c>
      <x:c r="G24" s="10" t="s">
        <x:v>308</x:v>
      </x:c>
      <x:c r="H24" s="10" t="s">
        <x:v>309</x:v>
      </x:c>
      <x:c r="I24" s="10" t="s">
        <x:v>310</x:v>
      </x:c>
      <x:c r="J24" s="10" t="s">
        <x:v>311</x:v>
      </x:c>
      <x:c r="K24" s="10">
        <x:v>1117</x:v>
      </x:c>
      <x:c r="L24" s="10" t="s">
        <x:v>312</x:v>
      </x:c>
      <x:c r="M24" s="10" t="s">
        <x:v>139</x:v>
      </x:c>
      <x:c r="N24" s="10" t="s">
        <x:v>140</x:v>
      </x:c>
      <x:c r="O24" s="10" t="s">
        <x:v>141</x:v>
      </x:c>
      <x:c r="P24" s="10" t="s">
        <x:v>159</x:v>
      </x:c>
    </x:row>
    <x:row r="25" ht="30">
      <x:c r="A25" s="10" t="s">
        <x:v>69</x:v>
      </x:c>
      <x:c r="B25" s="10">
        <x:v>4</x:v>
      </x:c>
      <x:c r="C25" s="10" t="s">
        <x:v>313</x:v>
      </x:c>
      <x:c r="D25" s="10" t="e">
        <x:f>HYPERLINK("https://www.bilibili.com/video/BV1KK4y1q7Pk","打开")</x:f>
      </x:c>
      <x:c r="E25" s="10" t="s">
        <x:v>314</x:v>
      </x:c>
      <x:c r="F25" s="10" t="s">
        <x:v>315</x:v>
      </x:c>
      <x:c r="G25" s="10" t="s">
        <x:v>308</x:v>
      </x:c>
      <x:c r="H25" s="10" t="s">
        <x:v>316</x:v>
      </x:c>
      <x:c r="I25" s="10" t="s">
        <x:v>317</x:v>
      </x:c>
      <x:c r="J25" s="10" t="s">
        <x:v>318</x:v>
      </x:c>
      <x:c r="K25" s="10">
        <x:v>1073</x:v>
      </x:c>
      <x:c r="L25" s="10" t="s">
        <x:v>319</x:v>
      </x:c>
      <x:c r="M25" s="10" t="s">
        <x:v>139</x:v>
      </x:c>
      <x:c r="N25" s="10" t="s">
        <x:v>140</x:v>
      </x:c>
      <x:c r="O25" s="10" t="s">
        <x:v>141</x:v>
      </x:c>
      <x:c r="P25" s="10" t="s">
        <x:v>159</x:v>
      </x:c>
    </x:row>
    <x:row r="26" ht="30">
      <x:c r="A26" s="10" t="s">
        <x:v>69</x:v>
      </x:c>
      <x:c r="B26" s="10">
        <x:v>5</x:v>
      </x:c>
      <x:c r="C26" s="10" t="s">
        <x:v>320</x:v>
      </x:c>
      <x:c r="D26" s="10" t="e">
        <x:f>HYPERLINK("https://www.bilibili.com/video/BV1cfQHYeEaA","打开")</x:f>
      </x:c>
      <x:c r="E26" s="10" t="s">
        <x:v>321</x:v>
      </x:c>
      <x:c r="F26" s="10" t="s">
        <x:v>322</x:v>
      </x:c>
      <x:c r="G26" s="10" t="s">
        <x:v>292</x:v>
      </x:c>
      <x:c r="H26" s="10" t="s">
        <x:v>262</x:v>
      </x:c>
      <x:c r="I26" s="10" t="s">
        <x:v>323</x:v>
      </x:c>
      <x:c r="J26" s="10" t="s">
        <x:v>324</x:v>
      </x:c>
      <x:c r="K26" s="10">
        <x:v>710</x:v>
      </x:c>
      <x:c r="L26" s="10" t="s">
        <x:v>325</x:v>
      </x:c>
      <x:c r="M26" s="10" t="s">
        <x:v>139</x:v>
      </x:c>
      <x:c r="N26" s="10" t="s">
        <x:v>140</x:v>
      </x:c>
      <x:c r="O26" s="10" t="s">
        <x:v>141</x:v>
      </x:c>
      <x:c r="P26" s="10" t="s">
        <x:v>159</x:v>
      </x:c>
    </x:row>
    <x:row r="27" ht="30">
      <x:c r="A27" s="10" t="s">
        <x:v>73</x:v>
      </x:c>
      <x:c r="B27" s="10">
        <x:v>1</x:v>
      </x:c>
      <x:c r="C27" s="10" t="s">
        <x:v>326</x:v>
      </x:c>
      <x:c r="D27" s="10" t="e">
        <x:f>HYPERLINK("https://www.bilibili.com/video/BV1ug3qzhEp9","打开")</x:f>
      </x:c>
      <x:c r="E27" s="10" t="s">
        <x:v>327</x:v>
      </x:c>
      <x:c r="F27" s="10" t="s">
        <x:v>328</x:v>
      </x:c>
      <x:c r="G27" s="10" t="s">
        <x:v>329</x:v>
      </x:c>
      <x:c r="H27" s="10" t="s">
        <x:v>330</x:v>
      </x:c>
      <x:c r="I27" s="10" t="s">
        <x:v>331</x:v>
      </x:c>
      <x:c r="J27" s="10" t="s">
        <x:v>332</x:v>
      </x:c>
      <x:c r="K27" s="10">
        <x:v>1854134</x:v>
      </x:c>
      <x:c r="L27" s="10" t="s">
        <x:v>333</x:v>
      </x:c>
      <x:c r="M27" s="10" t="s">
        <x:v>139</x:v>
      </x:c>
      <x:c r="N27" s="10" t="s">
        <x:v>140</x:v>
      </x:c>
      <x:c r="O27" s="10" t="s">
        <x:v>141</x:v>
      </x:c>
      <x:c r="P27" s="10" t="s">
        <x:v>142</x:v>
      </x:c>
    </x:row>
    <x:row r="28" ht="30">
      <x:c r="A28" s="10" t="s">
        <x:v>73</x:v>
      </x:c>
      <x:c r="B28" s="10">
        <x:v>2</x:v>
      </x:c>
      <x:c r="C28" s="10" t="s">
        <x:v>334</x:v>
      </x:c>
      <x:c r="D28" s="10" t="e">
        <x:f>HYPERLINK("https://www.bilibili.com/video/BV1Fsd8YeExh","打开")</x:f>
      </x:c>
      <x:c r="E28" s="10" t="s">
        <x:v>335</x:v>
      </x:c>
      <x:c r="F28" s="10" t="s">
        <x:v>336</x:v>
      </x:c>
      <x:c r="G28" s="10" t="s">
        <x:v>337</x:v>
      </x:c>
      <x:c r="H28" s="10" t="s">
        <x:v>338</x:v>
      </x:c>
      <x:c r="I28" s="10" t="s">
        <x:v>339</x:v>
      </x:c>
      <x:c r="J28" s="10" t="s">
        <x:v>340</x:v>
      </x:c>
      <x:c r="K28" s="10">
        <x:v>15651</x:v>
      </x:c>
      <x:c r="L28" s="10" t="s">
        <x:v>341</x:v>
      </x:c>
      <x:c r="M28" s="10" t="s">
        <x:v>139</x:v>
      </x:c>
      <x:c r="N28" s="10" t="s">
        <x:v>140</x:v>
      </x:c>
      <x:c r="O28" s="10" t="s">
        <x:v>141</x:v>
      </x:c>
      <x:c r="P28" s="10" t="s">
        <x:v>142</x:v>
      </x:c>
    </x:row>
    <x:row r="29" ht="30">
      <x:c r="A29" s="10" t="s">
        <x:v>73</x:v>
      </x:c>
      <x:c r="B29" s="10">
        <x:v>3</x:v>
      </x:c>
      <x:c r="C29" s="10" t="s">
        <x:v>342</x:v>
      </x:c>
      <x:c r="D29" s="10" t="e">
        <x:f>HYPERLINK("https://www.bilibili.com/video/BV1hj5DzyE5d","打开")</x:f>
      </x:c>
      <x:c r="E29" s="10" t="s">
        <x:v>343</x:v>
      </x:c>
      <x:c r="F29" s="10" t="s">
        <x:v>344</x:v>
      </x:c>
      <x:c r="G29" s="10" t="s">
        <x:v>345</x:v>
      </x:c>
      <x:c r="H29" s="10" t="s">
        <x:v>346</x:v>
      </x:c>
      <x:c r="I29" s="10" t="s">
        <x:v>347</x:v>
      </x:c>
      <x:c r="J29" s="10" t="s">
        <x:v>348</x:v>
      </x:c>
      <x:c r="K29" s="10">
        <x:v>15618</x:v>
      </x:c>
      <x:c r="L29" s="10" t="s">
        <x:v>349</x:v>
      </x:c>
      <x:c r="M29" s="10" t="s">
        <x:v>139</x:v>
      </x:c>
      <x:c r="N29" s="10" t="s">
        <x:v>140</x:v>
      </x:c>
      <x:c r="O29" s="10" t="s">
        <x:v>141</x:v>
      </x:c>
      <x:c r="P29" s="10" t="s">
        <x:v>159</x:v>
      </x:c>
    </x:row>
    <x:row r="30" ht="30">
      <x:c r="A30" s="10" t="s">
        <x:v>73</x:v>
      </x:c>
      <x:c r="B30" s="10">
        <x:v>4</x:v>
      </x:c>
      <x:c r="C30" s="10" t="s">
        <x:v>350</x:v>
      </x:c>
      <x:c r="D30" s="10" t="e">
        <x:f>HYPERLINK("https://www.bilibili.com/video/BV16fDfYNEzg","打开")</x:f>
      </x:c>
      <x:c r="E30" s="10" t="s">
        <x:v>351</x:v>
      </x:c>
      <x:c r="F30" s="10" t="s">
        <x:v>352</x:v>
      </x:c>
      <x:c r="G30" s="10" t="s">
        <x:v>353</x:v>
      </x:c>
      <x:c r="H30" s="10" t="s">
        <x:v>354</x:v>
      </x:c>
      <x:c r="I30" s="10" t="s">
        <x:v>355</x:v>
      </x:c>
      <x:c r="J30" s="10" t="s">
        <x:v>356</x:v>
      </x:c>
      <x:c r="K30" s="10">
        <x:v>6305</x:v>
      </x:c>
      <x:c r="L30" s="10" t="s">
        <x:v>357</x:v>
      </x:c>
      <x:c r="M30" s="10" t="s">
        <x:v>139</x:v>
      </x:c>
      <x:c r="N30" s="10" t="s">
        <x:v>140</x:v>
      </x:c>
      <x:c r="O30" s="10" t="s">
        <x:v>141</x:v>
      </x:c>
      <x:c r="P30" s="10" t="s">
        <x:v>159</x:v>
      </x:c>
    </x:row>
    <x:row r="31" ht="30">
      <x:c r="A31" s="10" t="s">
        <x:v>73</x:v>
      </x:c>
      <x:c r="B31" s="10">
        <x:v>5</x:v>
      </x:c>
      <x:c r="C31" s="10" t="s">
        <x:v>358</x:v>
      </x:c>
      <x:c r="D31" s="10" t="e">
        <x:f>HYPERLINK("https://www.bilibili.com/video/BV1vkNqeqEin","打开")</x:f>
      </x:c>
      <x:c r="E31" s="10" t="s">
        <x:v>359</x:v>
      </x:c>
      <x:c r="F31" s="10" t="s">
        <x:v>360</x:v>
      </x:c>
      <x:c r="G31" s="10" t="s">
        <x:v>285</x:v>
      </x:c>
      <x:c r="H31" s="10" t="s">
        <x:v>250</x:v>
      </x:c>
      <x:c r="I31" s="10" t="s">
        <x:v>361</x:v>
      </x:c>
      <x:c r="J31" s="10" t="s">
        <x:v>362</x:v>
      </x:c>
      <x:c r="K31" s="10">
        <x:v>1467</x:v>
      </x:c>
      <x:c r="L31" s="10" t="s">
        <x:v>363</x:v>
      </x:c>
      <x:c r="M31" s="10" t="s">
        <x:v>139</x:v>
      </x:c>
      <x:c r="N31" s="10" t="s">
        <x:v>140</x:v>
      </x:c>
      <x:c r="O31" s="10" t="s">
        <x:v>141</x:v>
      </x:c>
      <x:c r="P31" s="10" t="s">
        <x:v>159</x:v>
      </x:c>
    </x:row>
    <x:row r="32" ht="30">
      <x:c r="A32" s="10" t="s">
        <x:v>77</x:v>
      </x:c>
      <x:c r="B32" s="10">
        <x:v>1</x:v>
      </x:c>
      <x:c r="C32" s="10" t="s">
        <x:v>364</x:v>
      </x:c>
      <x:c r="D32" s="10" t="e">
        <x:f>HYPERLINK("https://www.bilibili.com/video/BV1M29PYiEHx","打开")</x:f>
      </x:c>
      <x:c r="E32" s="10" t="s">
        <x:v>365</x:v>
      </x:c>
      <x:c r="F32" s="10" t="s">
        <x:v>366</x:v>
      </x:c>
      <x:c r="G32" s="10" t="s">
        <x:v>367</x:v>
      </x:c>
      <x:c r="H32" s="10" t="s">
        <x:v>368</x:v>
      </x:c>
      <x:c r="I32" s="10" t="s">
        <x:v>369</x:v>
      </x:c>
      <x:c r="J32" s="10" t="s">
        <x:v>370</x:v>
      </x:c>
      <x:c r="K32" s="10">
        <x:v>14381</x:v>
      </x:c>
      <x:c r="L32" s="10" t="s">
        <x:v>371</x:v>
      </x:c>
      <x:c r="M32" s="10" t="s">
        <x:v>139</x:v>
      </x:c>
      <x:c r="N32" s="10" t="s">
        <x:v>140</x:v>
      </x:c>
      <x:c r="O32" s="10" t="s">
        <x:v>141</x:v>
      </x:c>
      <x:c r="P32" s="10" t="s">
        <x:v>142</x:v>
      </x:c>
    </x:row>
    <x:row r="33" ht="30">
      <x:c r="A33" s="10" t="s">
        <x:v>77</x:v>
      </x:c>
      <x:c r="B33" s="10">
        <x:v>2</x:v>
      </x:c>
      <x:c r="C33" s="10" t="s">
        <x:v>372</x:v>
      </x:c>
      <x:c r="D33" s="10" t="e">
        <x:f>HYPERLINK("https://www.bilibili.com/video/BV1BKP2eFEbm","打开")</x:f>
      </x:c>
      <x:c r="E33" s="10" t="s">
        <x:v>373</x:v>
      </x:c>
      <x:c r="F33" s="10" t="s">
        <x:v>374</x:v>
      </x:c>
      <x:c r="G33" s="10" t="s">
        <x:v>375</x:v>
      </x:c>
      <x:c r="H33" s="10" t="s">
        <x:v>301</x:v>
      </x:c>
      <x:c r="I33" s="10" t="s">
        <x:v>376</x:v>
      </x:c>
      <x:c r="J33" s="10" t="s">
        <x:v>377</x:v>
      </x:c>
      <x:c r="K33" s="10">
        <x:v>2575</x:v>
      </x:c>
      <x:c r="L33" s="10" t="s">
        <x:v>378</x:v>
      </x:c>
      <x:c r="M33" s="10" t="s">
        <x:v>139</x:v>
      </x:c>
      <x:c r="N33" s="10" t="s">
        <x:v>140</x:v>
      </x:c>
      <x:c r="O33" s="10" t="s">
        <x:v>141</x:v>
      </x:c>
      <x:c r="P33" s="10" t="s">
        <x:v>142</x:v>
      </x:c>
    </x:row>
    <x:row r="34" ht="30">
      <x:c r="A34" s="10" t="s">
        <x:v>77</x:v>
      </x:c>
      <x:c r="B34" s="10">
        <x:v>3</x:v>
      </x:c>
      <x:c r="C34" s="10" t="s">
        <x:v>379</x:v>
      </x:c>
      <x:c r="D34" s="10" t="e">
        <x:f>HYPERLINK("https://www.bilibili.com/video/BV1nc9xY2Ev8","打开")</x:f>
      </x:c>
      <x:c r="E34" s="10" t="s">
        <x:v>380</x:v>
      </x:c>
      <x:c r="F34" s="10" t="s">
        <x:v>381</x:v>
      </x:c>
      <x:c r="G34" s="10" t="s">
        <x:v>292</x:v>
      </x:c>
      <x:c r="H34" s="10" t="s">
        <x:v>382</x:v>
      </x:c>
      <x:c r="I34" s="10" t="s">
        <x:v>383</x:v>
      </x:c>
      <x:c r="J34" s="10" t="s">
        <x:v>384</x:v>
      </x:c>
      <x:c r="K34" s="10">
        <x:v>2246</x:v>
      </x:c>
      <x:c r="L34" s="10" t="s">
        <x:v>385</x:v>
      </x:c>
      <x:c r="M34" s="10" t="s">
        <x:v>139</x:v>
      </x:c>
      <x:c r="N34" s="10" t="s">
        <x:v>140</x:v>
      </x:c>
      <x:c r="O34" s="10" t="s">
        <x:v>141</x:v>
      </x:c>
      <x:c r="P34" s="10" t="s">
        <x:v>159</x:v>
      </x:c>
    </x:row>
    <x:row r="35" ht="30">
      <x:c r="A35" s="10" t="s">
        <x:v>77</x:v>
      </x:c>
      <x:c r="B35" s="10">
        <x:v>4</x:v>
      </x:c>
      <x:c r="C35" s="10" t="s">
        <x:v>386</x:v>
      </x:c>
      <x:c r="D35" s="10" t="e">
        <x:f>HYPERLINK("https://www.bilibili.com/video/BV1CSKHe6EZa","打开")</x:f>
      </x:c>
      <x:c r="E35" s="10" t="s">
        <x:v>387</x:v>
      </x:c>
      <x:c r="F35" s="10" t="s">
        <x:v>388</x:v>
      </x:c>
      <x:c r="G35" s="10" t="s">
        <x:v>389</x:v>
      </x:c>
      <x:c r="H35" s="10" t="s">
        <x:v>310</x:v>
      </x:c>
      <x:c r="I35" s="10" t="s">
        <x:v>390</x:v>
      </x:c>
      <x:c r="J35" s="10" t="s">
        <x:v>391</x:v>
      </x:c>
      <x:c r="K35" s="10">
        <x:v>846</x:v>
      </x:c>
      <x:c r="L35" s="10" t="s">
        <x:v>392</x:v>
      </x:c>
      <x:c r="M35" s="10" t="s">
        <x:v>139</x:v>
      </x:c>
      <x:c r="N35" s="10" t="s">
        <x:v>140</x:v>
      </x:c>
      <x:c r="O35" s="10" t="s">
        <x:v>141</x:v>
      </x:c>
      <x:c r="P35" s="10" t="s">
        <x:v>159</x:v>
      </x:c>
    </x:row>
    <x:row r="36" ht="30">
      <x:c r="A36" s="10" t="s">
        <x:v>77</x:v>
      </x:c>
      <x:c r="B36" s="10">
        <x:v>5</x:v>
      </x:c>
      <x:c r="C36" s="10" t="s">
        <x:v>393</x:v>
      </x:c>
      <x:c r="D36" s="10" t="e">
        <x:f>HYPERLINK("https://www.bilibili.com/video/BV1xmhezTEDb","打开")</x:f>
      </x:c>
      <x:c r="E36" s="10" t="s">
        <x:v>394</x:v>
      </x:c>
      <x:c r="F36" s="10" t="s">
        <x:v>395</x:v>
      </x:c>
      <x:c r="G36" s="10" t="s">
        <x:v>396</x:v>
      </x:c>
      <x:c r="H36" s="10" t="s">
        <x:v>397</x:v>
      </x:c>
      <x:c r="I36" s="10" t="s">
        <x:v>241</x:v>
      </x:c>
      <x:c r="J36" s="10" t="s">
        <x:v>398</x:v>
      </x:c>
      <x:c r="K36" s="10">
        <x:v>736</x:v>
      </x:c>
      <x:c r="L36" s="10" t="s">
        <x:v>399</x:v>
      </x:c>
      <x:c r="M36" s="10" t="s">
        <x:v>139</x:v>
      </x:c>
      <x:c r="N36" s="10" t="s">
        <x:v>140</x:v>
      </x:c>
      <x:c r="O36" s="10" t="s">
        <x:v>141</x:v>
      </x:c>
      <x:c r="P36" s="10" t="s">
        <x:v>159</x:v>
      </x:c>
    </x:row>
    <x:row r="37" ht="30">
      <x:c r="A37" s="10" t="s">
        <x:v>400</x:v>
      </x:c>
      <x:c r="B37" s="10">
        <x:v>1</x:v>
      </x:c>
      <x:c r="C37" s="10" t="s">
        <x:v>401</x:v>
      </x:c>
      <x:c r="D37" s="10" t="e">
        <x:f>HYPERLINK("https://www.bilibili.com/video/BV14rzQB9EJj","打开")</x:f>
      </x:c>
      <x:c r="E37" s="10" t="s">
        <x:v>402</x:v>
      </x:c>
      <x:c r="F37" s="10" t="s">
        <x:v>403</x:v>
      </x:c>
      <x:c r="G37" s="10" t="s">
        <x:v>404</x:v>
      </x:c>
      <x:c r="H37" s="10" t="s">
        <x:v>405</x:v>
      </x:c>
      <x:c r="I37" s="10" t="s">
        <x:v>406</x:v>
      </x:c>
      <x:c r="J37" s="10" t="s">
        <x:v>407</x:v>
      </x:c>
      <x:c r="K37" s="10">
        <x:v>54356</x:v>
      </x:c>
      <x:c r="L37" s="10" t="s">
        <x:v>408</x:v>
      </x:c>
      <x:c r="M37" s="10" t="s">
        <x:v>139</x:v>
      </x:c>
      <x:c r="N37" s="10" t="s">
        <x:v>140</x:v>
      </x:c>
      <x:c r="O37" s="10" t="s">
        <x:v>141</x:v>
      </x:c>
      <x:c r="P37" s="10" t="s">
        <x:v>142</x:v>
      </x:c>
    </x:row>
    <x:row r="38" ht="30">
      <x:c r="A38" s="10" t="s">
        <x:v>400</x:v>
      </x:c>
      <x:c r="B38" s="10">
        <x:v>2</x:v>
      </x:c>
      <x:c r="C38" s="10" t="s">
        <x:v>409</x:v>
      </x:c>
      <x:c r="D38" s="10" t="e">
        <x:f>HYPERLINK("https://www.bilibili.com/video/BV14e8JzdEgH","打开")</x:f>
      </x:c>
      <x:c r="E38" s="10" t="s">
        <x:v>410</x:v>
      </x:c>
      <x:c r="F38" s="10" t="s">
        <x:v>411</x:v>
      </x:c>
      <x:c r="G38" s="10" t="s">
        <x:v>412</x:v>
      </x:c>
      <x:c r="H38" s="10" t="s">
        <x:v>413</x:v>
      </x:c>
      <x:c r="I38" s="10" t="s">
        <x:v>414</x:v>
      </x:c>
      <x:c r="J38" s="10" t="s">
        <x:v>415</x:v>
      </x:c>
      <x:c r="K38" s="10">
        <x:v>10309</x:v>
      </x:c>
      <x:c r="L38" s="10" t="s">
        <x:v>416</x:v>
      </x:c>
      <x:c r="M38" s="10" t="s">
        <x:v>139</x:v>
      </x:c>
      <x:c r="N38" s="10" t="s">
        <x:v>140</x:v>
      </x:c>
      <x:c r="O38" s="10" t="s">
        <x:v>141</x:v>
      </x:c>
      <x:c r="P38" s="10" t="s">
        <x:v>142</x:v>
      </x:c>
    </x:row>
    <x:row r="39" ht="30">
      <x:c r="A39" s="10" t="s">
        <x:v>400</x:v>
      </x:c>
      <x:c r="B39" s="10">
        <x:v>3</x:v>
      </x:c>
      <x:c r="C39" s="10" t="s">
        <x:v>417</x:v>
      </x:c>
      <x:c r="D39" s="10" t="e">
        <x:f>HYPERLINK("https://www.bilibili.com/video/BV1rpTdz8Ece","打开")</x:f>
      </x:c>
      <x:c r="E39" s="10" t="s">
        <x:v>418</x:v>
      </x:c>
      <x:c r="F39" s="10" t="s">
        <x:v>419</x:v>
      </x:c>
      <x:c r="G39" s="10" t="s">
        <x:v>420</x:v>
      </x:c>
      <x:c r="H39" s="10" t="s">
        <x:v>421</x:v>
      </x:c>
      <x:c r="I39" s="10" t="s">
        <x:v>422</x:v>
      </x:c>
      <x:c r="J39" s="10" t="s">
        <x:v>423</x:v>
      </x:c>
      <x:c r="K39" s="10">
        <x:v>3716</x:v>
      </x:c>
      <x:c r="L39" s="10" t="s">
        <x:v>424</x:v>
      </x:c>
      <x:c r="M39" s="10" t="s">
        <x:v>139</x:v>
      </x:c>
      <x:c r="N39" s="10" t="s">
        <x:v>140</x:v>
      </x:c>
      <x:c r="O39" s="10" t="s">
        <x:v>141</x:v>
      </x:c>
      <x:c r="P39" s="10" t="s">
        <x:v>159</x:v>
      </x:c>
    </x:row>
    <x:row r="40" ht="30">
      <x:c r="A40" s="10" t="s">
        <x:v>400</x:v>
      </x:c>
      <x:c r="B40" s="10">
        <x:v>4</x:v>
      </x:c>
      <x:c r="C40" s="10" t="s">
        <x:v>425</x:v>
      </x:c>
      <x:c r="D40" s="10" t="e">
        <x:f>HYPERLINK("https://www.bilibili.com/video/BV1KocTzHE3Z","打开")</x:f>
      </x:c>
      <x:c r="E40" s="10" t="s">
        <x:v>426</x:v>
      </x:c>
      <x:c r="F40" s="10" t="s">
        <x:v>427</x:v>
      </x:c>
      <x:c r="G40" s="10" t="s">
        <x:v>308</x:v>
      </x:c>
      <x:c r="H40" s="10" t="s">
        <x:v>302</x:v>
      </x:c>
      <x:c r="I40" s="10" t="s">
        <x:v>428</x:v>
      </x:c>
      <x:c r="J40" s="10" t="s">
        <x:v>429</x:v>
      </x:c>
      <x:c r="K40" s="10">
        <x:v>3515</x:v>
      </x:c>
      <x:c r="L40" s="10" t="s">
        <x:v>430</x:v>
      </x:c>
      <x:c r="M40" s="10" t="s">
        <x:v>139</x:v>
      </x:c>
      <x:c r="N40" s="10" t="s">
        <x:v>140</x:v>
      </x:c>
      <x:c r="O40" s="10" t="s">
        <x:v>141</x:v>
      </x:c>
      <x:c r="P40" s="10" t="s">
        <x:v>159</x:v>
      </x:c>
    </x:row>
    <x:row r="41" ht="30">
      <x:c r="A41" s="10" t="s">
        <x:v>400</x:v>
      </x:c>
      <x:c r="B41" s="10">
        <x:v>5</x:v>
      </x:c>
      <x:c r="C41" s="10" t="s">
        <x:v>431</x:v>
      </x:c>
      <x:c r="D41" s="10" t="e">
        <x:f>HYPERLINK("https://www.bilibili.com/video/BV1vSjJzBEsY","打开")</x:f>
      </x:c>
      <x:c r="E41" s="10" t="s">
        <x:v>432</x:v>
      </x:c>
      <x:c r="F41" s="10" t="s">
        <x:v>433</x:v>
      </x:c>
      <x:c r="G41" s="10" t="s">
        <x:v>308</x:v>
      </x:c>
      <x:c r="H41" s="10" t="s">
        <x:v>434</x:v>
      </x:c>
      <x:c r="I41" s="10" t="s">
        <x:v>435</x:v>
      </x:c>
      <x:c r="J41" s="10" t="s">
        <x:v>436</x:v>
      </x:c>
      <x:c r="K41" s="10">
        <x:v>1703</x:v>
      </x:c>
      <x:c r="L41" s="10" t="s">
        <x:v>437</x:v>
      </x:c>
      <x:c r="M41" s="10" t="s">
        <x:v>139</x:v>
      </x:c>
      <x:c r="N41" s="10" t="s">
        <x:v>140</x:v>
      </x:c>
      <x:c r="O41" s="10" t="s">
        <x:v>141</x:v>
      </x:c>
      <x:c r="P41" s="10" t="s">
        <x:v>159</x:v>
      </x:c>
    </x:row>
    <x:row r="42" ht="30">
      <x:c r="A42" s="10" t="s">
        <x:v>438</x:v>
      </x:c>
      <x:c r="B42" s="10">
        <x:v>1</x:v>
      </x:c>
      <x:c r="C42" s="10" t="s">
        <x:v>439</x:v>
      </x:c>
      <x:c r="D42" s="10" t="e">
        <x:f>HYPERLINK("https://www.bilibili.com/video/BV1rpTdz8Ece","打开")</x:f>
      </x:c>
      <x:c r="E42" s="10" t="s">
        <x:v>418</x:v>
      </x:c>
      <x:c r="F42" s="10" t="s">
        <x:v>419</x:v>
      </x:c>
      <x:c r="G42" s="10" t="s">
        <x:v>420</x:v>
      </x:c>
      <x:c r="H42" s="10" t="s">
        <x:v>421</x:v>
      </x:c>
      <x:c r="I42" s="10" t="s">
        <x:v>422</x:v>
      </x:c>
      <x:c r="J42" s="10" t="s">
        <x:v>423</x:v>
      </x:c>
      <x:c r="K42" s="10">
        <x:v>3716</x:v>
      </x:c>
      <x:c r="L42" s="10" t="s">
        <x:v>440</x:v>
      </x:c>
      <x:c r="M42" s="10" t="s">
        <x:v>441</x:v>
      </x:c>
      <x:c r="N42" s="10" t="s">
        <x:v>140</x:v>
      </x:c>
      <x:c r="O42" s="10" t="s">
        <x:v>141</x:v>
      </x:c>
      <x:c r="P42" s="10" t="s">
        <x:v>142</x:v>
      </x:c>
    </x:row>
    <x:row r="43" ht="30">
      <x:c r="A43" s="10" t="s">
        <x:v>438</x:v>
      </x:c>
      <x:c r="B43" s="10">
        <x:v>2</x:v>
      </x:c>
      <x:c r="C43" s="10" t="s">
        <x:v>442</x:v>
      </x:c>
      <x:c r="D43" s="10" t="e">
        <x:f>HYPERLINK("https://www.youtube.com/results?search_query=LangChain+Agents+tutorial","打开")</x:f>
      </x:c>
      <x:c r="E43" s="10" t="s">
        <x:v>443</x:v>
      </x:c>
      <x:c r="F43" s="10" t="s">
        <x:v>444</x:v>
      </x:c>
      <x:c r="G43" s="10" t="s">
        <x:v>444</x:v>
      </x:c>
      <x:c r="H43" s="10" t="s">
        <x:v>444</x:v>
      </x:c>
      <x:c r="I43" s="10" t="s">
        <x:v>444</x:v>
      </x:c>
      <x:c r="J43" s="10" t="s">
        <x:v>444</x:v>
      </x:c>
      <x:c r="K43" s="10">
        <x:v>0</x:v>
      </x:c>
      <x:c r="L43" s="10" t="s">
        <x:v>445</x:v>
      </x:c>
      <x:c r="M43" s="10" t="s">
        <x:v>441</x:v>
      </x:c>
      <x:c r="N43" s="10" t="s">
        <x:v>446</x:v>
      </x:c>
      <x:c r="O43" s="10" t="s">
        <x:v>447</x:v>
      </x:c>
      <x:c r="P43" s="10" t="s">
        <x:v>142</x:v>
      </x:c>
    </x:row>
    <x:row r="44" ht="45">
      <x:c r="A44" s="10" t="s">
        <x:v>438</x:v>
      </x:c>
      <x:c r="B44" s="10">
        <x:v>3</x:v>
      </x:c>
      <x:c r="C44" s="10" t="s">
        <x:v>448</x:v>
      </x:c>
      <x:c r="D44" s="10" t="e">
        <x:f>HYPERLINK("https://www.youtube.com/results?search_query=AI+Agent+system+design+planning+tools+memory","打开")</x:f>
      </x:c>
      <x:c r="E44" s="10" t="s">
        <x:v>449</x:v>
      </x:c>
      <x:c r="F44" s="10" t="s">
        <x:v>444</x:v>
      </x:c>
      <x:c r="G44" s="10" t="s">
        <x:v>444</x:v>
      </x:c>
      <x:c r="H44" s="10" t="s">
        <x:v>444</x:v>
      </x:c>
      <x:c r="I44" s="10" t="s">
        <x:v>444</x:v>
      </x:c>
      <x:c r="J44" s="10" t="s">
        <x:v>444</x:v>
      </x:c>
      <x:c r="K44" s="10">
        <x:v>0</x:v>
      </x:c>
      <x:c r="L44" s="10" t="s">
        <x:v>450</x:v>
      </x:c>
      <x:c r="M44" s="10" t="s">
        <x:v>441</x:v>
      </x:c>
      <x:c r="N44" s="10" t="s">
        <x:v>446</x:v>
      </x:c>
      <x:c r="O44" s="10" t="s">
        <x:v>447</x:v>
      </x:c>
      <x:c r="P44" s="10" t="s">
        <x:v>159</x:v>
      </x:c>
    </x:row>
    <x:row r="45" ht="30">
      <x:c r="A45" s="10" t="s">
        <x:v>438</x:v>
      </x:c>
      <x:c r="B45" s="10">
        <x:v>4</x:v>
      </x:c>
      <x:c r="C45" s="10" t="s">
        <x:v>451</x:v>
      </x:c>
      <x:c r="D45" s="10" t="e">
        <x:f>HYPERLINK("https://www.youtube.com/results?search_query=CrewAI+multi+agent+tutorial","打开")</x:f>
      </x:c>
      <x:c r="E45" s="10" t="s">
        <x:v>452</x:v>
      </x:c>
      <x:c r="F45" s="10" t="s">
        <x:v>444</x:v>
      </x:c>
      <x:c r="G45" s="10" t="s">
        <x:v>444</x:v>
      </x:c>
      <x:c r="H45" s="10" t="s">
        <x:v>444</x:v>
      </x:c>
      <x:c r="I45" s="10" t="s">
        <x:v>444</x:v>
      </x:c>
      <x:c r="J45" s="10" t="s">
        <x:v>444</x:v>
      </x:c>
      <x:c r="K45" s="10">
        <x:v>0</x:v>
      </x:c>
      <x:c r="L45" s="10" t="s">
        <x:v>453</x:v>
      </x:c>
      <x:c r="M45" s="10" t="s">
        <x:v>441</x:v>
      </x:c>
      <x:c r="N45" s="10" t="s">
        <x:v>446</x:v>
      </x:c>
      <x:c r="O45" s="10" t="s">
        <x:v>447</x:v>
      </x:c>
      <x:c r="P45" s="10" t="s">
        <x:v>159</x:v>
      </x:c>
    </x:row>
    <x:row r="46" ht="30">
      <x:c r="A46" s="10" t="s">
        <x:v>438</x:v>
      </x:c>
      <x:c r="B46" s="10">
        <x:v>5</x:v>
      </x:c>
      <x:c r="C46" s="10" t="s">
        <x:v>454</x:v>
      </x:c>
      <x:c r="D46" s="10" t="e">
        <x:f>HYPERLINK("https://www.youtube.com/results?search_query=AutoGen+multi+agent+tutorial","打开")</x:f>
      </x:c>
      <x:c r="E46" s="10" t="s">
        <x:v>455</x:v>
      </x:c>
      <x:c r="F46" s="10" t="s">
        <x:v>444</x:v>
      </x:c>
      <x:c r="G46" s="10" t="s">
        <x:v>444</x:v>
      </x:c>
      <x:c r="H46" s="10" t="s">
        <x:v>444</x:v>
      </x:c>
      <x:c r="I46" s="10" t="s">
        <x:v>444</x:v>
      </x:c>
      <x:c r="J46" s="10" t="s">
        <x:v>444</x:v>
      </x:c>
      <x:c r="K46" s="10">
        <x:v>0</x:v>
      </x:c>
      <x:c r="L46" s="10" t="s">
        <x:v>456</x:v>
      </x:c>
      <x:c r="M46" s="10" t="s">
        <x:v>441</x:v>
      </x:c>
      <x:c r="N46" s="10" t="s">
        <x:v>446</x:v>
      </x:c>
      <x:c r="O46" s="10" t="s">
        <x:v>447</x:v>
      </x:c>
      <x:c r="P46" s="10" t="s">
        <x:v>159</x:v>
      </x:c>
    </x:row>
    <x:row r="47" ht="30">
      <x:c r="A47" s="10" t="s">
        <x:v>457</x:v>
      </x:c>
      <x:c r="B47" s="10">
        <x:v>1</x:v>
      </x:c>
      <x:c r="C47" s="10" t="s">
        <x:v>458</x:v>
      </x:c>
      <x:c r="D47" s="10" t="e">
        <x:f>HYPERLINK("https://www.youtube.com/results?search_query=Mem0+AI+memory+agents+tutorial","打开")</x:f>
      </x:c>
      <x:c r="E47" s="10" t="s">
        <x:v>459</x:v>
      </x:c>
      <x:c r="F47" s="10" t="s">
        <x:v>444</x:v>
      </x:c>
      <x:c r="G47" s="10" t="s">
        <x:v>444</x:v>
      </x:c>
      <x:c r="H47" s="10" t="s">
        <x:v>444</x:v>
      </x:c>
      <x:c r="I47" s="10" t="s">
        <x:v>444</x:v>
      </x:c>
      <x:c r="J47" s="10" t="s">
        <x:v>444</x:v>
      </x:c>
      <x:c r="K47" s="10">
        <x:v>0</x:v>
      </x:c>
      <x:c r="L47" s="10" t="s">
        <x:v>460</x:v>
      </x:c>
      <x:c r="M47" s="10" t="s">
        <x:v>441</x:v>
      </x:c>
      <x:c r="N47" s="10" t="s">
        <x:v>446</x:v>
      </x:c>
      <x:c r="O47" s="10" t="s">
        <x:v>447</x:v>
      </x:c>
      <x:c r="P47" s="10" t="s">
        <x:v>142</x:v>
      </x:c>
    </x:row>
    <x:row r="48" ht="45">
      <x:c r="A48" s="10" t="s">
        <x:v>457</x:v>
      </x:c>
      <x:c r="B48" s="10">
        <x:v>2</x:v>
      </x:c>
      <x:c r="C48" s="10" t="s">
        <x:v>461</x:v>
      </x:c>
      <x:c r="D48" s="10" t="e">
        <x:f>HYPERLINK("https://www.youtube.com/results?search_query=Letta+MemGPT+agent+memory+tutorial","打开")</x:f>
      </x:c>
      <x:c r="E48" s="10" t="s">
        <x:v>462</x:v>
      </x:c>
      <x:c r="F48" s="10" t="s">
        <x:v>444</x:v>
      </x:c>
      <x:c r="G48" s="10" t="s">
        <x:v>444</x:v>
      </x:c>
      <x:c r="H48" s="10" t="s">
        <x:v>444</x:v>
      </x:c>
      <x:c r="I48" s="10" t="s">
        <x:v>444</x:v>
      </x:c>
      <x:c r="J48" s="10" t="s">
        <x:v>444</x:v>
      </x:c>
      <x:c r="K48" s="10">
        <x:v>0</x:v>
      </x:c>
      <x:c r="L48" s="10" t="s">
        <x:v>463</x:v>
      </x:c>
      <x:c r="M48" s="10" t="s">
        <x:v>441</x:v>
      </x:c>
      <x:c r="N48" s="10" t="s">
        <x:v>446</x:v>
      </x:c>
      <x:c r="O48" s="10" t="s">
        <x:v>447</x:v>
      </x:c>
      <x:c r="P48" s="10" t="s">
        <x:v>142</x:v>
      </x:c>
    </x:row>
    <x:row r="49" ht="30">
      <x:c r="A49" s="10" t="s">
        <x:v>457</x:v>
      </x:c>
      <x:c r="B49" s="10">
        <x:v>3</x:v>
      </x:c>
      <x:c r="C49" s="10" t="s">
        <x:v>464</x:v>
      </x:c>
      <x:c r="D49" s="10" t="e">
        <x:f>HYPERLINK("https://www.youtube.com/results?search_query=LangGraph+memory+tutorial","打开")</x:f>
      </x:c>
      <x:c r="E49" s="10" t="s">
        <x:v>465</x:v>
      </x:c>
      <x:c r="F49" s="10" t="s">
        <x:v>444</x:v>
      </x:c>
      <x:c r="G49" s="10" t="s">
        <x:v>444</x:v>
      </x:c>
      <x:c r="H49" s="10" t="s">
        <x:v>444</x:v>
      </x:c>
      <x:c r="I49" s="10" t="s">
        <x:v>444</x:v>
      </x:c>
      <x:c r="J49" s="10" t="s">
        <x:v>444</x:v>
      </x:c>
      <x:c r="K49" s="10">
        <x:v>0</x:v>
      </x:c>
      <x:c r="L49" s="10" t="s">
        <x:v>466</x:v>
      </x:c>
      <x:c r="M49" s="10" t="s">
        <x:v>441</x:v>
      </x:c>
      <x:c r="N49" s="10" t="s">
        <x:v>446</x:v>
      </x:c>
      <x:c r="O49" s="10" t="s">
        <x:v>447</x:v>
      </x:c>
      <x:c r="P49" s="10" t="s">
        <x:v>159</x:v>
      </x:c>
    </x:row>
    <x:row r="50" ht="45">
      <x:c r="A50" s="10" t="s">
        <x:v>457</x:v>
      </x:c>
      <x:c r="B50" s="10">
        <x:v>4</x:v>
      </x:c>
      <x:c r="C50" s="10" t="s">
        <x:v>467</x:v>
      </x:c>
      <x:c r="D50" s="10" t="e">
        <x:f>HYPERLINK("https://www.youtube.com/results?search_query=LangChain+conversational+memory+tutorial","打开")</x:f>
      </x:c>
      <x:c r="E50" s="10" t="s">
        <x:v>468</x:v>
      </x:c>
      <x:c r="F50" s="10" t="s">
        <x:v>444</x:v>
      </x:c>
      <x:c r="G50" s="10" t="s">
        <x:v>444</x:v>
      </x:c>
      <x:c r="H50" s="10" t="s">
        <x:v>444</x:v>
      </x:c>
      <x:c r="I50" s="10" t="s">
        <x:v>444</x:v>
      </x:c>
      <x:c r="J50" s="10" t="s">
        <x:v>444</x:v>
      </x:c>
      <x:c r="K50" s="10">
        <x:v>0</x:v>
      </x:c>
      <x:c r="L50" s="10" t="s">
        <x:v>469</x:v>
      </x:c>
      <x:c r="M50" s="10" t="s">
        <x:v>441</x:v>
      </x:c>
      <x:c r="N50" s="10" t="s">
        <x:v>446</x:v>
      </x:c>
      <x:c r="O50" s="10" t="s">
        <x:v>447</x:v>
      </x:c>
      <x:c r="P50" s="10" t="s">
        <x:v>159</x:v>
      </x:c>
    </x:row>
    <x:row r="51" ht="60">
      <x:c r="A51" s="10" t="s">
        <x:v>457</x:v>
      </x:c>
      <x:c r="B51" s="10">
        <x:v>5</x:v>
      </x:c>
      <x:c r="C51" s="10" t="s">
        <x:v>470</x:v>
      </x:c>
      <x:c r="D51" s="10" t="e">
        <x:f>HYPERLINK("https://www.bilibili.com/search?keyword=AI%20Agent%20%E8%AE%B0%E5%BF%86%20%E9%95%BF%E6%9C%9F%E8%AE%B0%E5%BF%86%20%E6%95%99%E7%A8%8B","打开")</x:f>
      </x:c>
      <x:c r="E51" s="10" t="s">
        <x:v>471</x:v>
      </x:c>
      <x:c r="F51" s="10" t="s">
        <x:v>444</x:v>
      </x:c>
      <x:c r="G51" s="10" t="s">
        <x:v>444</x:v>
      </x:c>
      <x:c r="H51" s="10" t="s">
        <x:v>444</x:v>
      </x:c>
      <x:c r="I51" s="10" t="s">
        <x:v>444</x:v>
      </x:c>
      <x:c r="J51" s="10" t="s">
        <x:v>444</x:v>
      </x:c>
      <x:c r="K51" s="10">
        <x:v>0</x:v>
      </x:c>
      <x:c r="L51" s="10" t="s">
        <x:v>472</x:v>
      </x:c>
      <x:c r="M51" s="10" t="s">
        <x:v>441</x:v>
      </x:c>
      <x:c r="N51" s="10" t="s">
        <x:v>446</x:v>
      </x:c>
      <x:c r="O51" s="10" t="s">
        <x:v>447</x:v>
      </x:c>
      <x:c r="P51" s="10" t="s">
        <x:v>159</x:v>
      </x:c>
    </x:row>
    <x:row r="52" ht="45">
      <x:c r="A52" s="10" t="s">
        <x:v>473</x:v>
      </x:c>
      <x:c r="B52" s="10">
        <x:v>1</x:v>
      </x:c>
      <x:c r="C52" s="10" t="s">
        <x:v>474</x:v>
      </x:c>
      <x:c r="D52" s="10" t="e">
        <x:f>HYPERLINK("https://www.bilibili.com/search?keyword=OpenClaw%20AI%20Agent%20%E6%95%99%E7%A8%8B","打开")</x:f>
      </x:c>
      <x:c r="E52" s="10" t="s">
        <x:v>475</x:v>
      </x:c>
      <x:c r="F52" s="10" t="s">
        <x:v>444</x:v>
      </x:c>
      <x:c r="G52" s="10" t="s">
        <x:v>444</x:v>
      </x:c>
      <x:c r="H52" s="10" t="s">
        <x:v>444</x:v>
      </x:c>
      <x:c r="I52" s="10" t="s">
        <x:v>444</x:v>
      </x:c>
      <x:c r="J52" s="10" t="s">
        <x:v>444</x:v>
      </x:c>
      <x:c r="K52" s="10">
        <x:v>0</x:v>
      </x:c>
      <x:c r="L52" s="10" t="s">
        <x:v>476</x:v>
      </x:c>
      <x:c r="M52" s="10" t="s">
        <x:v>441</x:v>
      </x:c>
      <x:c r="N52" s="10" t="s">
        <x:v>446</x:v>
      </x:c>
      <x:c r="O52" s="10" t="s">
        <x:v>447</x:v>
      </x:c>
      <x:c r="P52" s="10" t="s">
        <x:v>142</x:v>
      </x:c>
    </x:row>
    <x:row r="53" ht="30">
      <x:c r="A53" s="10" t="s">
        <x:v>473</x:v>
      </x:c>
      <x:c r="B53" s="10">
        <x:v>2</x:v>
      </x:c>
      <x:c r="C53" s="10" t="s">
        <x:v>477</x:v>
      </x:c>
      <x:c r="D53" s="10" t="e">
        <x:f>HYPERLINK("https://www.youtube.com/results?search_query=OpenClaw+AI+Agent+tutorial","打开")</x:f>
      </x:c>
      <x:c r="E53" s="10" t="s">
        <x:v>478</x:v>
      </x:c>
      <x:c r="F53" s="10" t="s">
        <x:v>444</x:v>
      </x:c>
      <x:c r="G53" s="10" t="s">
        <x:v>444</x:v>
      </x:c>
      <x:c r="H53" s="10" t="s">
        <x:v>444</x:v>
      </x:c>
      <x:c r="I53" s="10" t="s">
        <x:v>444</x:v>
      </x:c>
      <x:c r="J53" s="10" t="s">
        <x:v>444</x:v>
      </x:c>
      <x:c r="K53" s="10">
        <x:v>0</x:v>
      </x:c>
      <x:c r="L53" s="10" t="s">
        <x:v>479</x:v>
      </x:c>
      <x:c r="M53" s="10" t="s">
        <x:v>441</x:v>
      </x:c>
      <x:c r="N53" s="10" t="s">
        <x:v>446</x:v>
      </x:c>
      <x:c r="O53" s="10" t="s">
        <x:v>447</x:v>
      </x:c>
      <x:c r="P53" s="10" t="s">
        <x:v>142</x:v>
      </x:c>
    </x:row>
    <x:row r="54" ht="30">
      <x:c r="A54" s="10" t="s">
        <x:v>473</x:v>
      </x:c>
      <x:c r="B54" s="10">
        <x:v>3</x:v>
      </x:c>
      <x:c r="C54" s="10" t="s">
        <x:v>480</x:v>
      </x:c>
      <x:c r="D54" s="10" t="e">
        <x:f>HYPERLINK("https://www.youtube.com/results?search_query=browser-use+AI+agent+tutorial","打开")</x:f>
      </x:c>
      <x:c r="E54" s="10" t="s">
        <x:v>481</x:v>
      </x:c>
      <x:c r="F54" s="10" t="s">
        <x:v>444</x:v>
      </x:c>
      <x:c r="G54" s="10" t="s">
        <x:v>444</x:v>
      </x:c>
      <x:c r="H54" s="10" t="s">
        <x:v>444</x:v>
      </x:c>
      <x:c r="I54" s="10" t="s">
        <x:v>444</x:v>
      </x:c>
      <x:c r="J54" s="10" t="s">
        <x:v>444</x:v>
      </x:c>
      <x:c r="K54" s="10">
        <x:v>0</x:v>
      </x:c>
      <x:c r="L54" s="10" t="s">
        <x:v>482</x:v>
      </x:c>
      <x:c r="M54" s="10" t="s">
        <x:v>441</x:v>
      </x:c>
      <x:c r="N54" s="10" t="s">
        <x:v>446</x:v>
      </x:c>
      <x:c r="O54" s="10" t="s">
        <x:v>447</x:v>
      </x:c>
      <x:c r="P54" s="10" t="s">
        <x:v>159</x:v>
      </x:c>
    </x:row>
    <x:row r="55" ht="45">
      <x:c r="A55" s="10" t="s">
        <x:v>473</x:v>
      </x:c>
      <x:c r="B55" s="10">
        <x:v>4</x:v>
      </x:c>
      <x:c r="C55" s="10" t="s">
        <x:v>483</x:v>
      </x:c>
      <x:c r="D55" s="10" t="e">
        <x:f>HYPERLINK("https://www.youtube.com/results?search_query=Claude+computer+use+browser+agent+tutorial","打开")</x:f>
      </x:c>
      <x:c r="E55" s="10" t="s">
        <x:v>484</x:v>
      </x:c>
      <x:c r="F55" s="10" t="s">
        <x:v>444</x:v>
      </x:c>
      <x:c r="G55" s="10" t="s">
        <x:v>444</x:v>
      </x:c>
      <x:c r="H55" s="10" t="s">
        <x:v>444</x:v>
      </x:c>
      <x:c r="I55" s="10" t="s">
        <x:v>444</x:v>
      </x:c>
      <x:c r="J55" s="10" t="s">
        <x:v>444</x:v>
      </x:c>
      <x:c r="K55" s="10">
        <x:v>0</x:v>
      </x:c>
      <x:c r="L55" s="10" t="s">
        <x:v>485</x:v>
      </x:c>
      <x:c r="M55" s="10" t="s">
        <x:v>441</x:v>
      </x:c>
      <x:c r="N55" s="10" t="s">
        <x:v>446</x:v>
      </x:c>
      <x:c r="O55" s="10" t="s">
        <x:v>447</x:v>
      </x:c>
      <x:c r="P55" s="10" t="s">
        <x:v>159</x:v>
      </x:c>
    </x:row>
    <x:row r="56" ht="75">
      <x:c r="A56" s="10" t="s">
        <x:v>473</x:v>
      </x:c>
      <x:c r="B56" s="10">
        <x:v>5</x:v>
      </x:c>
      <x:c r="C56" s="10" t="s">
        <x:v>486</x:v>
      </x:c>
      <x:c r="D56" s="10" t="e">
        <x:f>HYPERLINK("https://www.bilibili.com/search?keyword=%E5%A4%A7%E6%A8%A1%E5%9E%8B%20%E6%B5%8F%E8%A7%88%E5%99%A8%20Agent%20%E8%87%AA%E5%8A%A8%E5%8C%96","打开")</x:f>
      </x:c>
      <x:c r="E56" s="10" t="s">
        <x:v>487</x:v>
      </x:c>
      <x:c r="F56" s="10" t="s">
        <x:v>444</x:v>
      </x:c>
      <x:c r="G56" s="10" t="s">
        <x:v>444</x:v>
      </x:c>
      <x:c r="H56" s="10" t="s">
        <x:v>444</x:v>
      </x:c>
      <x:c r="I56" s="10" t="s">
        <x:v>444</x:v>
      </x:c>
      <x:c r="J56" s="10" t="s">
        <x:v>444</x:v>
      </x:c>
      <x:c r="K56" s="10">
        <x:v>0</x:v>
      </x:c>
      <x:c r="L56" s="10" t="s">
        <x:v>488</x:v>
      </x:c>
      <x:c r="M56" s="10" t="s">
        <x:v>441</x:v>
      </x:c>
      <x:c r="N56" s="10" t="s">
        <x:v>446</x:v>
      </x:c>
      <x:c r="O56" s="10" t="s">
        <x:v>447</x:v>
      </x:c>
      <x:c r="P56" s="10" t="s">
        <x:v>159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5"/>
  <x:cols>
    <x:col min="1" max="1" width="25" customWidth="1"/>
    <x:col min="2" max="2" width="16.4375" customWidth="1"/>
    <x:col min="3" max="3" width="12.125" customWidth="1"/>
    <x:col min="4" max="4" width="46.4375" customWidth="1"/>
    <x:col min="5" max="5" width="17.875" customWidth="1"/>
    <x:col min="6" max="6" width="50.6875" customWidth="1"/>
  </x:cols>
  <x:sheetData>
    <x:row r="1" ht="15.75">
      <x:c r="A1" s="8" t="s">
        <x:v>489</x:v>
      </x:c>
      <x:c r="B1" s="8" t="s">
        <x:v>490</x:v>
      </x:c>
      <x:c r="C1" s="8" t="s">
        <x:v>41</x:v>
      </x:c>
      <x:c r="D1" s="8" t="s">
        <x:v>491</x:v>
      </x:c>
      <x:c r="E1" s="8" t="s">
        <x:v>492</x:v>
      </x:c>
      <x:c r="F1" s="8" t="s">
        <x:v>493</x:v>
      </x:c>
    </x:row>
    <x:row r="2" ht="30">
      <x:c r="A2" s="9" t="s">
        <x:v>83</x:v>
      </x:c>
      <x:c r="B2" s="9" t="s">
        <x:v>494</x:v>
      </x:c>
      <x:c r="C2" s="9" t="e">
        <x:f>HYPERLINK("https://github.com/openclaw/openclaw","打开")</x:f>
      </x:c>
      <x:c r="D2" s="9" t="s">
        <x:v>495</x:v>
      </x:c>
      <x:c r="E2" s="9" t="s">
        <x:v>496</x:v>
      </x:c>
      <x:c r="F2" s="9" t="s">
        <x:v>497</x:v>
      </x:c>
    </x:row>
    <x:row r="3" ht="30">
      <x:c r="A3" s="9" t="s">
        <x:v>69</x:v>
      </x:c>
      <x:c r="B3" s="9" t="s">
        <x:v>494</x:v>
      </x:c>
      <x:c r="C3" s="9" t="e">
        <x:f>HYPERLINK("https://github.com/langchain-ai/langgraph","打开")</x:f>
      </x:c>
      <x:c r="D3" s="9" t="s">
        <x:v>498</x:v>
      </x:c>
      <x:c r="E3" s="9" t="s">
        <x:v>496</x:v>
      </x:c>
      <x:c r="F3" s="9" t="s">
        <x:v>499</x:v>
      </x:c>
    </x:row>
    <x:row r="4" ht="30">
      <x:c r="A4" s="9" t="s">
        <x:v>500</x:v>
      </x:c>
      <x:c r="B4" s="9" t="s">
        <x:v>494</x:v>
      </x:c>
      <x:c r="C4" s="9" t="e">
        <x:f>HYPERLINK("https://github.com/langchain-ai/langchain","打开")</x:f>
      </x:c>
      <x:c r="D4" s="9" t="s">
        <x:v>501</x:v>
      </x:c>
      <x:c r="E4" s="9" t="s">
        <x:v>496</x:v>
      </x:c>
      <x:c r="F4" s="9" t="s">
        <x:v>502</x:v>
      </x:c>
    </x:row>
    <x:row r="5" ht="30">
      <x:c r="A5" s="9" t="s">
        <x:v>77</x:v>
      </x:c>
      <x:c r="B5" s="9" t="s">
        <x:v>494</x:v>
      </x:c>
      <x:c r="C5" s="9" t="e">
        <x:f>HYPERLINK("https://github.com/langgenius/dify","打开")</x:f>
      </x:c>
      <x:c r="D5" s="9" t="s">
        <x:v>503</x:v>
      </x:c>
      <x:c r="E5" s="9" t="s">
        <x:v>496</x:v>
      </x:c>
      <x:c r="F5" s="9" t="s">
        <x:v>504</x:v>
      </x:c>
    </x:row>
    <x:row r="6" ht="30">
      <x:c r="A6" s="9" t="s">
        <x:v>505</x:v>
      </x:c>
      <x:c r="B6" s="9" t="s">
        <x:v>494</x:v>
      </x:c>
      <x:c r="C6" s="9" t="e">
        <x:f>HYPERLINK("https://github.com/modelcontextprotocol/python-sdk","打开")</x:f>
      </x:c>
      <x:c r="D6" s="9" t="s">
        <x:v>506</x:v>
      </x:c>
      <x:c r="E6" s="9" t="s">
        <x:v>496</x:v>
      </x:c>
      <x:c r="F6" s="9" t="s">
        <x:v>507</x:v>
      </x:c>
    </x:row>
    <x:row r="7" ht="30">
      <x:c r="A7" s="9" t="s">
        <x:v>508</x:v>
      </x:c>
      <x:c r="B7" s="9" t="s">
        <x:v>494</x:v>
      </x:c>
      <x:c r="C7" s="9" t="e">
        <x:f>HYPERLINK("https://github.com/modelcontextprotocol/typescript-sdk","打开")</x:f>
      </x:c>
      <x:c r="D7" s="9" t="s">
        <x:v>509</x:v>
      </x:c>
      <x:c r="E7" s="9" t="s">
        <x:v>496</x:v>
      </x:c>
      <x:c r="F7" s="9" t="s">
        <x:v>510</x:v>
      </x:c>
    </x:row>
    <x:row r="8" ht="15">
      <x:c r="A8" s="9" t="s">
        <x:v>511</x:v>
      </x:c>
      <x:c r="B8" s="9" t="s">
        <x:v>512</x:v>
      </x:c>
      <x:c r="C8" s="9" t="e">
        <x:f>HYPERLINK("https://skills.github.com/","打开")</x:f>
      </x:c>
      <x:c r="D8" s="9" t="s">
        <x:v>513</x:v>
      </x:c>
      <x:c r="E8" s="9" t="s">
        <x:v>514</x:v>
      </x:c>
      <x:c r="F8" s="9" t="s">
        <x:v>515</x:v>
      </x:c>
    </x:row>
    <x:row r="9" ht="15">
      <x:c r="A9" s="9" t="s">
        <x:v>516</x:v>
      </x:c>
      <x:c r="B9" s="9" t="s">
        <x:v>517</x:v>
      </x:c>
      <x:c r="C9" s="9" t="e">
        <x:f>HYPERLINK("https://api-docs.deepseek.com/","打开")</x:f>
      </x:c>
      <x:c r="D9" s="9" t="s">
        <x:v>518</x:v>
      </x:c>
      <x:c r="E9" s="9" t="s">
        <x:v>519</x:v>
      </x:c>
      <x:c r="F9" s="9" t="s">
        <x:v>520</x:v>
      </x:c>
    </x:row>
    <x:row r="10" ht="15">
      <x:c r="A10" s="9" t="s">
        <x:v>521</x:v>
      </x:c>
      <x:c r="B10" s="9" t="s">
        <x:v>517</x:v>
      </x:c>
      <x:c r="C10" s="9" t="e">
        <x:f>HYPERLINK("https://docs.dify.ai/","打开")</x:f>
      </x:c>
      <x:c r="D10" s="9" t="s">
        <x:v>518</x:v>
      </x:c>
      <x:c r="E10" s="9" t="s">
        <x:v>519</x:v>
      </x:c>
      <x:c r="F10" s="9" t="s">
        <x:v>522</x:v>
      </x:c>
    </x:row>
    <x:row r="11" ht="15">
      <x:c r="A11" s="9" t="s">
        <x:v>523</x:v>
      </x:c>
      <x:c r="B11" s="9" t="s">
        <x:v>517</x:v>
      </x:c>
      <x:c r="C11" s="9" t="e">
        <x:f>HYPERLINK("https://langchain-ai.github.io/langgraph/","打开")</x:f>
      </x:c>
      <x:c r="D11" s="9" t="s">
        <x:v>518</x:v>
      </x:c>
      <x:c r="E11" s="9" t="s">
        <x:v>519</x:v>
      </x:c>
      <x:c r="F11" s="9" t="s">
        <x:v>524</x:v>
      </x:c>
    </x:row>
    <x:row r="12" ht="15">
      <x:c r="A12" s="9" t="s">
        <x:v>525</x:v>
      </x:c>
      <x:c r="B12" s="9" t="s">
        <x:v>517</x:v>
      </x:c>
      <x:c r="C12" s="9" t="e">
        <x:f>HYPERLINK("https://modelcontextprotocol.io/","打开")</x:f>
      </x:c>
      <x:c r="D12" s="9" t="s">
        <x:v>518</x:v>
      </x:c>
      <x:c r="E12" s="9" t="s">
        <x:v>519</x:v>
      </x:c>
      <x:c r="F12" s="9" t="s">
        <x:v>526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5"/>
  <x:cols>
    <x:col min="1" max="1" width="26.4375" customWidth="1"/>
    <x:col min="2" max="2" width="107.875" customWidth="1"/>
  </x:cols>
  <x:sheetData>
    <x:row r="1" ht="15.75">
      <x:c r="A1" s="8" t="s">
        <x:v>0</x:v>
      </x:c>
      <x:c r="B1" s="8" t="s">
        <x:v>527</x:v>
      </x:c>
    </x:row>
    <x:row r="2" ht="30">
      <x:c r="A2" s="9" t="s">
        <x:v>528</x:v>
      </x:c>
      <x:c r="B2" s="9" t="s">
        <x:v>529</x:v>
      </x:c>
    </x:row>
    <x:row r="3" ht="15">
      <x:c r="A3" s="9" t="s">
        <x:v>530</x:v>
      </x:c>
      <x:c r="B3" s="9" t="s">
        <x:v>531</x:v>
      </x:c>
    </x:row>
    <x:row r="4" ht="30">
      <x:c r="A4" s="9" t="s">
        <x:v>127</x:v>
      </x:c>
      <x:c r="B4" s="9" t="s">
        <x:v>532</x:v>
      </x:c>
    </x:row>
    <x:row r="5" ht="15">
      <x:c r="A5" s="9" t="s">
        <x:v>533</x:v>
      </x:c>
      <x:c r="B5" s="9" t="s">
        <x:v>534</x:v>
      </x:c>
    </x:row>
    <x:row r="6" ht="15">
      <x:c r="A6" s="9" t="s">
        <x:v>535</x:v>
      </x:c>
      <x:c r="B6" s="9" t="s">
        <x:v>536</x:v>
      </x:c>
    </x:row>
    <x:row r="7" ht="15">
      <x:c r="A7" s="9" t="s">
        <x:v>537</x:v>
      </x:c>
      <x:c r="B7" s="9" t="s">
        <x:v>538</x:v>
      </x:c>
    </x:row>
    <x:row r="8" ht="15">
      <x:c r="A8" s="9" t="s">
        <x:v>539</x:v>
      </x:c>
      <x:c r="B8" s="9" t="s">
        <x:v>540</x:v>
      </x:c>
    </x:row>
    <x:row r="9" ht="15">
      <x:c r="A9" s="9" t="s">
        <x:v>541</x:v>
      </x:c>
      <x:c r="B9" s="9" t="s">
        <x:v>542</x:v>
      </x:c>
    </x:row>
    <x:row r="10" ht="15">
      <x:c r="A10" s="9" t="s">
        <x:v>543</x:v>
      </x:c>
      <x:c r="B10" s="9" t="s">
        <x:v>544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15" hidden="0" customWidth="1"/>
    <x:col min="3" max="3" width="36.43000030517578" hidden="0" customWidth="1"/>
    <x:col min="4" max="4" width="9.289999961853027" hidden="0" customWidth="1"/>
    <x:col min="5" max="5" width="25" hidden="0" customWidth="1"/>
    <x:col min="6" max="6" width="35" hidden="0" customWidth="1"/>
    <x:col min="7" max="7" width="35" hidden="0" customWidth="1"/>
    <x:col min="8" max="8" width="107.86000061035156" hidden="0" customWidth="1"/>
    <x:col min="9" max="9" width="55" hidden="0" customWidth="1"/>
    <x:col min="10" max="10" width="39.290000915527344" hidden="0" customWidth="1"/>
    <x:col min="11" max="11" width="27.860000610351562" hidden="0" customWidth="1"/>
    <x:col min="12" max="12" width="12.859999656677246" hidden="0" customWidth="1"/>
    <x:col min="13" max="13" width="60.709999084472656" hidden="0" customWidth="1"/>
  </x:cols>
  <x:sheetData>
    <x:row r="1" ht="25.5" customHeight="1">
      <x:c r="A1" s="52" t="str">
        <x:v>学习模块</x:v>
      </x:c>
      <x:c r="B1" s="52" t="str">
        <x:v>篇章层级</x:v>
      </x:c>
      <x:c r="C1" s="52" t="str">
        <x:v>篇章目标</x:v>
      </x:c>
      <x:c r="D1" s="52" t="str">
        <x:v>天数</x:v>
      </x:c>
      <x:c r="E1" s="52" t="str">
        <x:v>主题</x:v>
      </x:c>
      <x:c r="F1" s="52" t="str">
        <x:v>环境依赖</x:v>
      </x:c>
      <x:c r="G1" s="52" t="str">
        <x:v>学习目标</x:v>
      </x:c>
      <x:c r="H1" s="52" t="str">
        <x:v>高价值资源</x:v>
      </x:c>
      <x:c r="I1" s="52" t="str">
        <x:v>环境/实践步骤</x:v>
      </x:c>
      <x:c r="J1" s="52" t="str">
        <x:v>验收标准</x:v>
      </x:c>
      <x:c r="K1" s="52" t="str">
        <x:v>当天输出物</x:v>
      </x:c>
      <x:c r="L1" s="52" t="str">
        <x:v>状态</x:v>
      </x:c>
      <x:c r="M1" s="52" t="str">
        <x:v>练习指导 / 卡住怎么办</x:v>
      </x:c>
    </x:row>
    <x:row r="2" ht="142.5" customHeight="1">
      <x:c r="A2" s="72" t="str">
        <x:v>0. 最小环境与学习仓库</x:v>
      </x:c>
      <x:c r="B2" s="80" t="str">
        <x:v>理论基础篇</x:v>
      </x:c>
      <x:c r="C2" s="80" t="str">
        <x:v>理解目录、Git、API Key 安全和每天输出物的意义</x:v>
      </x:c>
      <x:c r="D2" s="74" t="str">
        <x:v>第1天</x:v>
      </x:c>
      <x:c r="E2" s="74" t="str">
        <x:v>学习仓库与基础环境</x:v>
      </x:c>
      <x:c r="F2" s="74" t="str">
        <x:v>Python 3.11+、Git、VS Code、uv/pip；不用 Docker/Dify/RAG</x:v>
      </x:c>
      <x:c r="G2" s="74" t="str">
        <x:v>只搭最小开发环境，后续工具用到再搭</x:v>
      </x:c>
      <x:c r="H2" s="74" t="str">
        <x:v>视频资源：
无必看视频，优先读文档/跑示例
文档 / GitHub / 工具资源：
1、GitHub Skills：https://skills.github.com/
2、Python：https://www.python.org/downloads/
3、Git：https://git-scm.com/downloads
4、VS Code：https://code.visualstudio.com/
5、uv：https://docs.astral.sh/uv/
资源对比说明：
完整播放/点赞/投币/收藏对比见「模块视频Top5」页。</x:v>
      </x:c>
      <x:c r="I2" s="74" t="str">
        <x:v>1、安装/确认 Python、Git、VS Code
2、创建 ai-agent-learning 仓库
3、建立 demos/ notes/ evals/ data/ 四个目录
4、创建 README.md、.env.example、.gitignore
5、提交第一次 commit</x:v>
      </x:c>
      <x:c r="J2" s="74" t="str">
        <x:v>能提交第一次 commit；README 写明目录用途</x:v>
      </x:c>
      <x:c r="K2" s="74" t="str">
        <x:v>repo + README.md</x:v>
      </x:c>
      <x:c r="L2" s="74" t="str">
        <x:v>未开始</x:v>
      </x:c>
      <x:c r="M2" s="74" t="str">
        <x:v>最小完成：只要能跑通验证命令即可，不追求完美配置。
卡住检查：版本号、路径、环境变量、网络代理、终端是否重启。
降级方案：截图/记录报错，写入 notes/troubleshooting.md，当天仍可继续看概念课。
求助时带：系统版本、命令、完整报错、你已经试过的步骤。</x:v>
      </x:c>
    </x:row>
    <x:row r="3" ht="142.5" customHeight="1">
      <x:c r="A3" s="72" t="str">
        <x:v>0. 最小环境与学习仓库</x:v>
      </x:c>
      <x:c r="B3" s="88" t="str">
        <x:v>进阶篇</x:v>
      </x:c>
      <x:c r="C3" s="88" t="str">
        <x:v>建立学习日志、问题清单和错误复盘模板</x:v>
      </x:c>
      <x:c r="D3" s="82" t="str">
        <x:v>第2天</x:v>
      </x:c>
      <x:c r="E3" s="82" t="str">
        <x:v>DeepSeek API 最小调用</x:v>
      </x:c>
      <x:c r="F3" s="82" t="str">
        <x:v>DEEPSEEK_API_KEY、MODEL_NAME=deepseek-v4-flash、BASE_URL=https://api.deepseek.com</x:v>
      </x:c>
      <x:c r="G3" s="82" t="str">
        <x:v>先用低成本模型跑通调用，不接复杂框架</x:v>
      </x:c>
      <x:c r="H3" s="82" t="str">
        <x:v>视频资源：
无必看视频，优先读文档/跑示例
文档 / GitHub / 工具资源：
1、DeepSeek API Docs：https://api-docs.deepseek.com/
2、DeepSeek Pricing：https://api-docs.deepseek.com/quick_start/pricing/
3、DeepSeek List Models：https://api-docs.deepseek.com/zh-cn/api/list-models/
资源对比说明：
完整播放/点赞/投币/收藏对比见「模块视频Top5」页。</x:v>
      </x:c>
      <x:c r="I3" s="82" t="str">
        <x:v>1、准备 DeepSeek API Key
2、配置 .env
3、写最小 API 调用脚本
4、限制 max_tokens 并打印错误日志
5、确认 .env 不进入 Git</x:v>
      </x:c>
      <x:c r="J3" s="82" t="str">
        <x:v>脚本可运行；key 不泄露；错误能看懂</x:v>
      </x:c>
      <x:c r="K3" s="82" t="str">
        <x:v>demos/00_api_smoke_test.py</x:v>
      </x:c>
      <x:c r="L3" s="82" t="str">
        <x:v>未开始</x:v>
      </x:c>
      <x:c r="M3" s="82" t="str">
        <x:v>最小完成：发出一次请求并打印模型回复。
卡住检查：API key 是否生效、BASE_URL 是否为 https://api.deepseek.com、MODEL_NAME 是否 deepseek-v4-flash、余额/限流。
降级方案：先用伪响应 JSON 写后续代码，把真实 API 调通留到第二天。
求助时带：请求代码、去掉 key 的环境变量、HTTP 状态码和错误体。</x:v>
      </x:c>
    </x:row>
    <x:row r="4" ht="142.5" customHeight="1">
      <x:c r="A4" s="72" t="str">
        <x:v>0. 最小环境与学习仓库</x:v>
      </x:c>
      <x:c r="B4" s="96" t="str">
        <x:v>实战篇</x:v>
      </x:c>
      <x:c r="C4" s="96" t="str">
        <x:v>创建仓库和固定目录，准备后续所有实验</x:v>
      </x:c>
      <x:c r="D4" s="90" t="str">
        <x:v>第3天</x:v>
      </x:c>
      <x:c r="E4" s="90" t="str">
        <x:v>本地学习目录与日志</x:v>
      </x:c>
      <x:c r="F4" s="90" t="str">
        <x:v>data/、notes/、evals/、demos/；不需要 Docker</x:v>
      </x:c>
      <x:c r="G4" s="90" t="str">
        <x:v>为后续 prompt、tool、RAG 准备可复用目录</x:v>
      </x:c>
      <x:c r="H4" s="90" t="str">
        <x:v>视频资源：
无必看视频，优先读文档/跑示例
文档 / GitHub / 工具资源：
1、GitHub Skills：https://skills.github.com/
2、Python：https://www.python.org/downloads/
3、Git：https://git-scm.com/downloads
4、VS Code：https://code.visualstudio.com/
5、uv：https://docs.astral.sh/uv/
资源对比说明：
完整播放/点赞/投币/收藏对比见「模块视频Top5」页。</x:v>
      </x:c>
      <x:c r="I4" s="90" t="str">
        <x:v>1、在 data/ 放 3 个测试文本
2、在 notes/ 建 daily-log.md
3、在 evals/ 建 prompt_eval 模板
4、写清每天输出物命名规则
5、记录学习问题清单</x:v>
      </x:c>
      <x:c r="J4" s="90" t="str">
        <x:v>目录清楚；每天输出物有固定位置</x:v>
      </x:c>
      <x:c r="K4" s="90" t="str">
        <x:v>notes/daily-log.md</x:v>
      </x:c>
      <x:c r="L4" s="90" t="str">
        <x:v>未开始</x:v>
      </x:c>
      <x:c r="M4" s="90" t="str">
        <x:v>最小完成：建好目录和 daily-log.md。
卡住检查：不要纠结目录完美，先保证 demos/ notes/ evals/ data/ 四个目录存在。
降级方案：用一个 markdown 文件记录所有内容，之后再拆分。
求助时带：你当前目录截图或 tree 输出。</x:v>
      </x:c>
    </x:row>
    <x:row r="5" ht="142.5" customHeight="1">
      <x:c r="A5" s="72" t="str">
        <x:v>1. Prompt / 结构化输出</x:v>
      </x:c>
      <x:c r="B5" s="80" t="str">
        <x:v>理论基础篇</x:v>
      </x:c>
      <x:c r="C5" s="80" t="str">
        <x:v>理解 prompt 的角色、目标、上下文、约束和格式</x:v>
      </x:c>
      <x:c r="D5" s="74" t="str">
        <x:v>第4天</x:v>
      </x:c>
      <x:c r="E5" s="74" t="str">
        <x:v>Prompt Engineering</x:v>
      </x:c>
      <x:c r="F5" s="74" t="str">
        <x:v>DeepSeek API；本地 notes/</x:v>
      </x:c>
      <x:c r="G5" s="74" t="str">
        <x:v>理解 prompt 是控制模型行为的接口</x:v>
      </x:c>
      <x:c r="H5" s="74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I5" s="74" t="str">
        <x:v>1、看 1 个 prompt 视频
2、写 3 个 system prompt：老师、代码审查、信息抽取
3、用 deepseek-v4-flash 跑同一个任务
4、对比输出差异
5、记录哪些约束真正影响结果</x:v>
      </x:c>
      <x:c r="J5" s="74" t="str">
        <x:v>能解释 role、context、constraints、format 的作用</x:v>
      </x:c>
      <x:c r="K5" s="74" t="str">
        <x:v>notes/prompt_patterns.md</x:v>
      </x:c>
      <x:c r="L5" s="74" t="str">
        <x:v>未开始</x:v>
      </x:c>
      <x:c r="M5" s="74" t="str">
        <x:v>最小完成：写 1 个 system prompt，并用同一输入跑 2 次。
标准完成：写 3 个 prompt，对比输出差异。
卡住检查：任务是否太大、输出格式是否明确、是否给了反例或示例。
降级方案：先只控制输出格式，不控制复杂行为。
复盘问题：哪一句 prompt 真正改变了输出？</x:v>
      </x:c>
    </x:row>
    <x:row r="6" ht="142.5" customHeight="1">
      <x:c r="A6" s="72" t="str">
        <x:v>1. Prompt / 结构化输出</x:v>
      </x:c>
      <x:c r="B6" s="88" t="str">
        <x:v>进阶篇</x:v>
      </x:c>
      <x:c r="C6" s="88" t="str">
        <x:v>掌握 few-shot、ReAct 风格、结构化输出和失败重试</x:v>
      </x:c>
      <x:c r="D6" s="82" t="str">
        <x:v>第5天</x:v>
      </x:c>
      <x:c r="E6" s="82" t="str">
        <x:v>Few-shot / ReAct</x:v>
      </x:c>
      <x:c r="F6" s="82" t="str">
        <x:v>DeepSeek API；notes/</x:v>
      </x:c>
      <x:c r="G6" s="82" t="str">
        <x:v>掌握示例、推理提示、工具思维的边界</x:v>
      </x:c>
      <x:c r="H6" s="82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I6" s="82" t="str">
        <x:v>1、读 Anthropic prompt 文档
2、写 zero-shot 和 few-shot 分类器
3、写 ReAct 风格伪流程
4、避免要求模型输出长推理链
5、记录示例数量对输出的影响</x:v>
      </x:c>
      <x:c r="J6" s="82" t="str">
        <x:v>知道什么时候用示例，什么时候用 schema</x:v>
      </x:c>
      <x:c r="K6" s="82" t="str">
        <x:v>demos/01_few_shot_lab.py</x:v>
      </x:c>
      <x:c r="L6" s="82" t="str">
        <x:v>未开始</x:v>
      </x:c>
      <x:c r="M6" s="82" t="str">
        <x:v>最小完成：写 1 个 system prompt，并用同一输入跑 2 次。
标准完成：写 3 个 prompt，对比输出差异。
卡住检查：任务是否太大、输出格式是否明确、是否给了反例或示例。
降级方案：先只控制输出格式，不控制复杂行为。
复盘问题：哪一句 prompt 真正改变了输出？</x:v>
      </x:c>
    </x:row>
    <x:row r="7" ht="142.5" customHeight="1">
      <x:c r="A7" s="72" t="str">
        <x:v>1. Prompt / 结构化输出</x:v>
      </x:c>
      <x:c r="B7" s="88" t="str">
        <x:v>进阶篇</x:v>
      </x:c>
      <x:c r="C7" s="88" t="str">
        <x:v>掌握 few-shot、ReAct 风格、结构化输出和失败重试</x:v>
      </x:c>
      <x:c r="D7" s="82" t="str">
        <x:v>第6天</x:v>
      </x:c>
      <x:c r="E7" s="82" t="str">
        <x:v>Structured Output</x:v>
      </x:c>
      <x:c r="F7" s="82" t="str">
        <x:v>DeepSeek API、Pydantic</x:v>
      </x:c>
      <x:c r="G7" s="82" t="str">
        <x:v>让模型输出可被程序稳定消费的数据</x:v>
      </x:c>
      <x:c r="H7" s="82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I7" s="82" t="str">
        <x:v>1、安装/确认 Pydantic
2、定义 Task/Priority/DueDate schema
3、调用模型输出 JSON
4、用 Pydantic 校验
5、失败时给出重试或错误说明</x:v>
      </x:c>
      <x:c r="J7" s="82" t="str">
        <x:v>输出稳定解析；失败可处理</x:v>
      </x:c>
      <x:c r="K7" s="82" t="str">
        <x:v>demos/02_structured_output.py</x:v>
      </x:c>
      <x:c r="L7" s="82" t="str">
        <x:v>未开始</x:v>
      </x:c>
      <x:c r="M7" s="82" t="str">
        <x:v>最小完成：让模型输出一个能被 json.loads 解析的 JSON。
标准完成：用 Pydantic 校验，并处理失败。
卡住检查：schema 是否过复杂、字段是否有歧义、是否要求模型输出额外解释。
降级方案：先减少到 3 个字段，再逐步加字段。
复盘问题：哪些字段最容易错？为什么？</x:v>
      </x:c>
    </x:row>
    <x:row r="8" ht="142.5" customHeight="1">
      <x:c r="A8" s="72" t="str">
        <x:v>1. Prompt / 结构化输出</x:v>
      </x:c>
      <x:c r="B8" s="96" t="str">
        <x:v>实战篇</x:v>
      </x:c>
      <x:c r="C8" s="96" t="str">
        <x:v>用 eval 判断 prompt 是否真的更稳定</x:v>
      </x:c>
      <x:c r="D8" s="90" t="str">
        <x:v>第7天</x:v>
      </x:c>
      <x:c r="E8" s="90" t="str">
        <x:v>Prompt Eval</x:v>
      </x:c>
      <x:c r="F8" s="90" t="str">
        <x:v>DeepSeek API、evals/</x:v>
      </x:c>
      <x:c r="G8" s="90" t="str">
        <x:v>用测试集判断 prompt 质量</x:v>
      </x:c>
      <x:c r="H8" s="90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资源对比说明：
完整播放/点赞/投币/收藏对比见「模块视频Top5」页。</x:v>
      </x:c>
      <x:c r="I8" s="90" t="str">
        <x:v>1、准备 10 条测试输入
2、对比两个 prompt 版本
3、记录正确率、格式错误、幻觉、遗漏
4、选出更稳定版本
5、把结论写入 daily-log</x:v>
      </x:c>
      <x:c r="J8" s="90" t="str">
        <x:v>不是凭感觉改 prompt，而是有小 eval</x:v>
      </x:c>
      <x:c r="K8" s="90" t="str">
        <x:v>evals/prompt_eval.xlsx</x:v>
      </x:c>
      <x:c r="L8" s="90" t="str">
        <x:v>未开始</x:v>
      </x:c>
      <x:c r="M8" s="90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</x:v>
      </x:c>
    </x:row>
    <x:row r="9" ht="142.5" customHeight="1">
      <x:c r="A9" s="72" t="str">
        <x:v>2. LLM 基础 / Attention / Embedding</x:v>
      </x:c>
      <x:c r="B9" s="80" t="str">
        <x:v>理论基础篇</x:v>
      </x:c>
      <x:c r="C9" s="80" t="str">
        <x:v>理解 token、context、attention、QKV、embedding 的直觉</x:v>
      </x:c>
      <x:c r="D9" s="74" t="str">
        <x:v>第8天</x:v>
      </x:c>
      <x:c r="E9" s="74" t="str">
        <x:v>LLM 基础</x:v>
      </x:c>
      <x:c r="F9" s="74" t="str">
        <x:v>笔记环境即可</x:v>
      </x:c>
      <x:c r="G9" s="74" t="str">
        <x:v>理解 token、context、attention、embedding</x:v>
      </x:c>
      <x:c r="H9" s="74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I9" s="74" t="str">
        <x:v>1、看 Transformer/Attention 内容
2、画 LLM 工作流程图
3、估算 3 段文本 token 成本
4、写 context window 的限制
5、总结 inference 与训练的区别</x:v>
      </x:c>
      <x:c r="J9" s="74" t="str">
        <x:v>能用自己的话解释基础概念</x:v>
      </x:c>
      <x:c r="K9" s="74" t="str">
        <x:v>notes/llm_basics.md</x:v>
      </x:c>
      <x:c r="L9" s="74" t="str">
        <x:v>未开始</x:v>
      </x:c>
      <x:c r="M9" s="74" t="str">
        <x:v>最小完成：能用自己的话解释 3 个概念。
标准完成：画一张关系图并写例子。
卡住检查：不要深挖数学，先理解输入、上下文、注意力、生成的流程。
降级方案：把不懂的术语写成问题列表，后续遇到再回填。
复盘问题：这个概念会影响我写 prompt 或 RAG 的哪个决策？</x:v>
      </x:c>
    </x:row>
    <x:row r="10" ht="142.5" customHeight="1">
      <x:c r="A10" s="72" t="str">
        <x:v>2. LLM 基础 / Attention / Embedding</x:v>
      </x:c>
      <x:c r="B10" s="88" t="str">
        <x:v>进阶篇</x:v>
      </x:c>
      <x:c r="C10" s="88" t="str">
        <x:v>理解 embedding 相似度和检索边界</x:v>
      </x:c>
      <x:c r="D10" s="82" t="str">
        <x:v>第9天</x:v>
      </x:c>
      <x:c r="E10" s="82" t="str">
        <x:v>Embedding 入门</x:v>
      </x:c>
      <x:c r="F10" s="82" t="str">
        <x:v>DeepSeek/OpenAI 兼容 embedding 或先写伪代码；不急着上向量库</x:v>
      </x:c>
      <x:c r="G10" s="82" t="str">
        <x:v>先理解 embedding，再到 RAG 前搭向量库</x:v>
      </x:c>
      <x:c r="H10" s="82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I10" s="82" t="str">
        <x:v>1、准备 20 条短文本
2、生成或模拟 embedding
3、用相似度找最相关文本
4、记录相似但不等于正确的案例
5、写出 embedding 的适用边界</x:v>
      </x:c>
      <x:c r="J10" s="82" t="str">
        <x:v>能解释 embedding 如何服务检索</x:v>
      </x:c>
      <x:c r="K10" s="82" t="str">
        <x:v>demos/03_embedding_search.py</x:v>
      </x:c>
      <x:c r="L10" s="82" t="str">
        <x:v>未开始</x:v>
      </x:c>
      <x:c r="M10" s="82" t="str">
        <x:v>最小完成：能用自己的话解释 3 个概念。
标准完成：画一张关系图并写例子。
卡住检查：不要深挖数学，先理解输入、上下文、注意力、生成的流程。
降级方案：把不懂的术语写成问题列表，后续遇到再回填。
复盘问题：这个概念会影响我写 prompt 或 RAG 的哪个决策？</x:v>
      </x:c>
    </x:row>
    <x:row r="11" ht="142.5" customHeight="1">
      <x:c r="A11" s="72" t="str">
        <x:v>2. LLM 基础 / Attention / Embedding</x:v>
      </x:c>
      <x:c r="B11" s="96" t="str">
        <x:v>实战篇</x:v>
      </x:c>
      <x:c r="C11" s="96" t="str">
        <x:v>把 LLM 基础和 Prompt 复盘成可用心智模型</x:v>
      </x:c>
      <x:c r="D11" s="90" t="str">
        <x:v>第10天</x:v>
      </x:c>
      <x:c r="E11" s="90" t="str">
        <x:v>阶段复盘</x:v>
      </x:c>
      <x:c r="F11" s="90" t="str">
        <x:v>前面所有轻量环境</x:v>
      </x:c>
      <x:c r="G11" s="90" t="str">
        <x:v>把 Prompt、结构化输出、LLM 基础串起来</x:v>
      </x:c>
      <x:c r="H11" s="90" t="str">
        <x:v>视频资源：
1、翻遍整个B站，这绝对是2026讲的最好的提示词工程教程：https://www.bilibili.com/video/BV1VEA8zYE6f
   选择建议：优先看；可信度：搜索摘要-指标较全；热度分：16178
2、提示词工程从零开始学Prompt Engineering（2024新手入门版）：https://www.bilibili.com/video/BV1Epz3YNEPL
   选择建议：优先看；可信度：搜索摘要-指标较全；热度分：2131
3、Prompt提示词工程视频教程，从零开始学Prompt Engineering：https://www.bilibili.com/video/BV1kJrUYUEUi
   选择建议：备选/换讲法；可信度：搜索摘要-指标较全；热度分：547
4、提示词学习指南：B站讲得好的提示词工程教程：https://www.bilibili.com/video/BV1pG2YBjEpT
   选择建议：备选/换讲法；可信度：搜索摘要-指标较全；热度分：242
5、AI大模型提示词工程教程 2025 最新版：https://www.bilibili.com/video/BV1AiEsz6ETX
   选择建议：备选/换讲法；可信度：搜索摘要-指标不全；热度分：21
文档 / GitHub / 工具资源：
1、Prompting Guide：https://www.promptingguide.ai/
2、Anthropic Prompt Engineering：https://docs.anthropic.com/en/docs/build-with-claude/prompt-engineering/overview
3、OpenAI Structured Outputs Cookbook：https://cookbook.openai.com/examples/structured_outputs_intro
4、DeepSeek API Docs：https://api-docs.deepseek.com/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I11" s="90" t="str">
        <x:v>1、整理第4-9天笔记
2、画控制模型输出的关系图
3、列出 5 个未理解问题
4、更新 README 学习进度
5、决定下一阶段工具练习目标</x:v>
      </x:c>
      <x:c r="J11" s="90" t="str">
        <x:v>形成自己的 LLM 控制模型</x:v>
      </x:c>
      <x:c r="K11" s="90" t="str">
        <x:v>notes/stage1_review.md</x:v>
      </x:c>
      <x:c r="L11" s="90" t="str">
        <x:v>未开始</x:v>
      </x:c>
      <x:c r="M11" s="90" t="str">
        <x:v>最小完成：整理 3 条最重要结论。
标准完成：把第4-9天内容串成一张图。
卡住检查：不要试图一次讲完整 LLM，只讲“如何控制输出”。
降级方案：只写问题清单也算有效复盘。
复盘问题：下一阶段做工具调用时，哪些概念会直接用上？</x:v>
      </x:c>
    </x:row>
    <x:row r="12" ht="142.5" customHeight="1">
      <x:c r="A12" s="72" t="str">
        <x:v>3. Function / Tool Calling</x:v>
      </x:c>
      <x:c r="B12" s="80" t="str">
        <x:v>理论基础篇</x:v>
      </x:c>
      <x:c r="C12" s="80" t="str">
        <x:v>理解 tool/function/schema/call/result 链路</x:v>
      </x:c>
      <x:c r="D12" s="74" t="str">
        <x:v>第11天</x:v>
      </x:c>
      <x:c r="E12" s="74" t="str">
        <x:v>Function Calling 概念</x:v>
      </x:c>
      <x:c r="F12" s="74" t="str">
        <x:v>DeepSeek API、Pydantic/jsonschema；用到前再装</x:v>
      </x:c>
      <x:c r="G12" s="74" t="str">
        <x:v>理解 tool/function/schema/call/result 链路</x:v>
      </x:c>
      <x:c r="H12" s="74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12" s="74" t="str">
        <x:v>1、安装/确认 Pydantic 或 jsonschema
2、读 Function Calling 文档
3、手写 get_weather schema
4、画模型调用工具时序图
5、记录模型和程序的职责分界</x:v>
      </x:c>
      <x:c r="J12" s="74" t="str">
        <x:v>知道模型决定调用，程序负责执行</x:v>
      </x:c>
      <x:c r="K12" s="74" t="str">
        <x:v>notes/tool_call_flow.md</x:v>
      </x:c>
      <x:c r="L12" s="74" t="str">
        <x:v>未开始</x:v>
      </x:c>
      <x:c r="M12" s="74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3" ht="142.5" customHeight="1">
      <x:c r="A13" s="72" t="str">
        <x:v>3. Function / Tool Calling</x:v>
      </x:c>
      <x:c r="B13" s="88" t="str">
        <x:v>进阶篇</x:v>
      </x:c>
      <x:c r="C13" s="88" t="str">
        <x:v>设计文件工具和只读 SQL 工具，处理错误和边界</x:v>
      </x:c>
      <x:c r="D13" s="82" t="str">
        <x:v>第12天</x:v>
      </x:c>
      <x:c r="E13" s="82" t="str">
        <x:v>文件工具</x:v>
      </x:c>
      <x:c r="F13" s="82" t="str">
        <x:v>Python、data/ 测试文件</x:v>
      </x:c>
      <x:c r="G13" s="82" t="str">
        <x:v>做第一个安全本地工具</x:v>
      </x:c>
      <x:c r="H13" s="82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13" s="82" t="str">
        <x:v>1、定义 read_file(path) schema
2、限制只能读取 data/ 目录
3、让模型决定何时调用
4、处理路径不存在错误
5、记录调用日志</x:v>
      </x:c>
      <x:c r="J13" s="82" t="str">
        <x:v>模型能通过工具读取并总结文件</x:v>
      </x:c>
      <x:c r="K13" s="82" t="str">
        <x:v>demos/04_file_tool.py</x:v>
      </x:c>
      <x:c r="L13" s="82" t="str">
        <x:v>未开始</x:v>
      </x:c>
      <x:c r="M13" s="82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4" ht="142.5" customHeight="1">
      <x:c r="A14" s="72" t="str">
        <x:v>3. Function / Tool Calling</x:v>
      </x:c>
      <x:c r="B14" s="88" t="str">
        <x:v>进阶篇</x:v>
      </x:c>
      <x:c r="C14" s="88" t="str">
        <x:v>设计文件工具和只读 SQL 工具，处理错误和边界</x:v>
      </x:c>
      <x:c r="D14" s="82" t="str">
        <x:v>第13天</x:v>
      </x:c>
      <x:c r="E14" s="82" t="str">
        <x:v>SQL 工具</x:v>
      </x:c>
      <x:c r="F14" s="82" t="str">
        <x:v>SQLite、本地 demo 数据库；今天再创建</x:v>
      </x:c>
      <x:c r="G14" s="82" t="str">
        <x:v>做一个只读数据查询工具</x:v>
      </x:c>
      <x:c r="H14" s="82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14" s="82" t="str">
        <x:v>1、准备 SQLite demo 数据库
2、定义只读查询工具
3、禁止写入/删除语句
4、让模型查询并解释结果
5、记录 SQL 和自然语言答案</x:v>
      </x:c>
      <x:c r="J14" s="82" t="str">
        <x:v>能完成自然语言到安全查询闭环</x:v>
      </x:c>
      <x:c r="K14" s="82" t="str">
        <x:v>demos/05_sql_tool.py</x:v>
      </x:c>
      <x:c r="L14" s="82" t="str">
        <x:v>未开始</x:v>
      </x:c>
      <x:c r="M14" s="82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5" ht="142.5" customHeight="1">
      <x:c r="A15" s="72" t="str">
        <x:v>3. Function / Tool Calling</x:v>
      </x:c>
      <x:c r="B15" s="96" t="str">
        <x:v>实战篇</x:v>
      </x:c>
      <x:c r="C15" s="96" t="str">
        <x:v>总结工具安全、allowlist、日志和人工确认</x:v>
      </x:c>
      <x:c r="D15" s="90" t="str">
        <x:v>第14天</x:v>
      </x:c>
      <x:c r="E15" s="90" t="str">
        <x:v>工具安全</x:v>
      </x:c>
      <x:c r="F15" s="90" t="str">
        <x:v>工具日志、allowlist</x:v>
      </x:c>
      <x:c r="G15" s="90" t="str">
        <x:v>给强工具加边界</x:v>
      </x:c>
      <x:c r="H15" s="90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15" s="90" t="str">
        <x:v>1、列出 shell/browser/file/sql 风险
2、设计 allowlist 和人工确认规则
3、给工具调用加日志
4、写 5 个拒绝案例
5、总结高风险工具原则</x:v>
      </x:c>
      <x:c r="J15" s="90" t="str">
        <x:v>高风险操作不会默认执行</x:v>
      </x:c>
      <x:c r="K15" s="90" t="str">
        <x:v>notes/tool_safety.md</x:v>
      </x:c>
      <x:c r="L15" s="90" t="str">
        <x:v>未开始</x:v>
      </x:c>
      <x:c r="M15" s="90" t="str">
        <x:v>最小完成：写出 5 个危险操作。
标准完成：为每个危险操作设计 allowlist 或人工确认。
卡住检查：问自己“这个工具会不会改文件、花钱、泄露数据”。
降级方案：只写安全设计，不写代码也可以。
复盘问题：你的工具默认是安全失败，还是危险成功？</x:v>
      </x:c>
    </x:row>
    <x:row r="16" ht="142.5" customHeight="1">
      <x:c r="A16" s="72" t="str">
        <x:v>4. MCP</x:v>
      </x:c>
      <x:c r="B16" s="80" t="str">
        <x:v>理论基础篇</x:v>
      </x:c>
      <x:c r="C16" s="80" t="str">
        <x:v>理解 MCP 与普通 function calling 的区别</x:v>
      </x:c>
      <x:c r="D16" s="74" t="str">
        <x:v>第15天</x:v>
      </x:c>
      <x:c r="E16" s="74" t="str">
        <x:v>MCP SDK 搭建</x:v>
      </x:c>
      <x:c r="F16" s="74" t="str">
        <x:v>MCP Python SDK；今天第一次搭</x:v>
      </x:c>
      <x:c r="G16" s="74" t="str">
        <x:v>把本地工具标准化为 MCP server</x:v>
      </x:c>
      <x:c r="H16" s="74" t="str">
        <x:v>视频资源：
1、MCP Server开发零基础教程：基于 Java 代码开发 MCP 服务端：https://www.bilibili.com/video/BV1aDVhzdE6S
   选择建议：优先看；可信度：搜索摘要-指标较全；热度分：34312
2、Cursor + MCP = 王炸！彻底颠覆 Cursor 工作流：https://www.bilibili.com/video/BV1eYPpeWEnT
   选择建议：优先看；可信度：搜索摘要-指标较全；热度分：15219
3、Cursor 和 MCP 简直绝配！保姆级教程：https://www.bilibili.com/video/BV1vHVuzTEiV
   选择建议：备选/换讲法；可信度：搜索摘要-指标较全；热度分：5712
4、看 MCP Server 代码，了解大模型跟 MCP 如何协同：https://www.bilibili.com/video/BV11MEHzwEp6
   选择建议：备选/换讲法；可信度：搜索摘要-指标较全；热度分：1795
5、26分钟掌握模型上下文协议 MCP 的秘密与实战指南：https://www.bilibili.com/video/BV1tPs6zuEMX
   选择建议：备选/换讲法；可信度：搜索摘要-指标较全；热度分：42
文档 / GitHub / 工具资源：
1、MCP 官方文档：https://modelcontextprotocol.io/
2、MCP Python SDK：https://github.com/modelcontextprotocol/python-sdk
3、MCP TypeScript SDK：https://github.com/modelcontextprotocol/typescript-sdk
资源对比说明：
完整播放/点赞/投币/收藏对比见「模块视频Top5」页。</x:v>
      </x:c>
      <x:c r="I16" s="74" t="str">
        <x:v>1、安装 MCP Python SDK
2、跑通 hello MCP server
3、阅读 SDK 示例
4、记录客户端发现工具的流程
5、写安装坑点</x:v>
      </x:c>
      <x:c r="J16" s="74" t="str">
        <x:v>hello MCP server 能启动</x:v>
      </x:c>
      <x:c r="K16" s="74" t="str">
        <x:v>demos/06_mcp_hello.py</x:v>
      </x:c>
      <x:c r="L16" s="74" t="str">
        <x:v>未开始</x:v>
      </x:c>
      <x:c r="M16" s="74" t="str">
        <x:v>最小完成：hello MCP server 能启动。
标准完成：把已有 file tool 改成 MCP tool。
卡住检查：SDK 版本、启动命令、客户端配置、工具名称是否暴露。
降级方案：先阅读官方示例并写流程图，不急着接入复杂客户端。
求助时带：server 代码、启动命令、客户端配置、日志。</x:v>
      </x:c>
    </x:row>
    <x:row r="17" ht="142.5" customHeight="1">
      <x:c r="A17" s="72" t="str">
        <x:v>4. MCP</x:v>
      </x:c>
      <x:c r="B17" s="88" t="str">
        <x:v>进阶篇</x:v>
      </x:c>
      <x:c r="C17" s="88" t="str">
        <x:v>设计文件 MCP 工具和资源暴露边界</x:v>
      </x:c>
      <x:c r="D17" s="82" t="str">
        <x:v>第16天</x:v>
      </x:c>
      <x:c r="E17" s="82" t="str">
        <x:v>文件 MCP 工具</x:v>
      </x:c>
      <x:c r="F17" s="82" t="str">
        <x:v>MCP SDK、data/</x:v>
      </x:c>
      <x:c r="G17" s="82" t="str">
        <x:v>把 read_file 改成 MCP tool</x:v>
      </x:c>
      <x:c r="H17" s="82" t="str">
        <x:v>视频资源：
1、MCP Server开发零基础教程：基于 Java 代码开发 MCP 服务端：https://www.bilibili.com/video/BV1aDVhzdE6S
   选择建议：优先看；可信度：搜索摘要-指标较全；热度分：34312
2、Cursor + MCP = 王炸！彻底颠覆 Cursor 工作流：https://www.bilibili.com/video/BV1eYPpeWEnT
   选择建议：优先看；可信度：搜索摘要-指标较全；热度分：15219
3、Cursor 和 MCP 简直绝配！保姆级教程：https://www.bilibili.com/video/BV1vHVuzTEiV
   选择建议：备选/换讲法；可信度：搜索摘要-指标较全；热度分：5712
4、看 MCP Server 代码，了解大模型跟 MCP 如何协同：https://www.bilibili.com/video/BV11MEHzwEp6
   选择建议：备选/换讲法；可信度：搜索摘要-指标较全；热度分：1795
5、26分钟掌握模型上下文协议 MCP 的秘密与实战指南：https://www.bilibili.com/video/BV1tPs6zuEMX
   选择建议：备选/换讲法；可信度：搜索摘要-指标较全；热度分：42
文档 / GitHub / 工具资源：
1、MCP 官方文档：https://modelcontextprotocol.io/
2、MCP Python SDK：https://github.com/modelcontextprotocol/python-sdk
3、MCP TypeScript SDK：https://github.com/modelcontextprotocol/typescript-sdk
资源对比说明：
完整播放/点赞/投币/收藏对比见「模块视频Top5」页。</x:v>
      </x:c>
      <x:c r="I17" s="82" t="str">
        <x:v>1、复用第12天 read_file
2、改造成 MCP tool
3、补 schema 和错误处理
4、写使用说明
5、测试正常和异常路径</x:v>
      </x:c>
      <x:c r="J17" s="82" t="str">
        <x:v>MCP tool 能被发现和调用</x:v>
      </x:c>
      <x:c r="K17" s="82" t="str">
        <x:v>demos/07_file_mcp_server.py</x:v>
      </x:c>
      <x:c r="L17" s="82" t="str">
        <x:v>未开始</x:v>
      </x:c>
      <x:c r="M17" s="82" t="str">
        <x:v>最小完成：hello MCP server 能启动。
标准完成：把已有 file tool 改成 MCP tool。
卡住检查：SDK 版本、启动命令、客户端配置、工具名称是否暴露。
降级方案：先阅读官方示例并写流程图，不急着接入复杂客户端。
求助时带：server 代码、启动命令、客户端配置、日志。</x:v>
      </x:c>
    </x:row>
    <x:row r="18" ht="142.5" customHeight="1">
      <x:c r="A18" s="72" t="str">
        <x:v>4. MCP</x:v>
      </x:c>
      <x:c r="B18" s="96" t="str">
        <x:v>实战篇</x:v>
      </x:c>
      <x:c r="C18" s="96" t="str">
        <x:v>完成多工具编排并记录调用日志</x:v>
      </x:c>
      <x:c r="D18" s="90" t="str">
        <x:v>第17天</x:v>
      </x:c>
      <x:c r="E18" s="90" t="str">
        <x:v>多工具编排</x:v>
      </x:c>
      <x:c r="F18" s="90" t="str">
        <x:v>File/SQL/MCP；不需要 LangGraph</x:v>
      </x:c>
      <x:c r="G18" s="90" t="str">
        <x:v>让 agent 在多个工具间选择</x:v>
      </x:c>
      <x:c r="H18" s="90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18" s="90" t="str">
        <x:v>1、准备 file、sql 两个工具
2、设计一个需要两步查询的任务
3、记录每次工具调用日志
4、加入失败重试
5、复盘工具选择是否合理</x:v>
      </x:c>
      <x:c r="J18" s="90" t="str">
        <x:v>多工具任务可复现、可观察</x:v>
      </x:c>
      <x:c r="K18" s="90" t="str">
        <x:v>demos/08_tool_orchestration.py</x:v>
      </x:c>
      <x:c r="L18" s="90" t="str">
        <x:v>未开始</x:v>
      </x:c>
      <x:c r="M18" s="90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</x:v>
      </x:c>
    </x:row>
    <x:row r="19" ht="142.5" customHeight="1">
      <x:c r="A19" s="72" t="str">
        <x:v>5. LangGraph / Agent 状态机</x:v>
      </x:c>
      <x:c r="B19" s="80" t="str">
        <x:v>理论基础篇</x:v>
      </x:c>
      <x:c r="C19" s="80" t="str">
        <x:v>理解 state、node、edge、conditional edge</x:v>
      </x:c>
      <x:c r="D19" s="74" t="str">
        <x:v>第18天</x:v>
      </x:c>
      <x:c r="E19" s="74" t="str">
        <x:v>LangGraph 搭建</x:v>
      </x:c>
      <x:c r="F19" s="74" t="str">
        <x:v>LangGraph；今天第一次安装</x:v>
      </x:c>
      <x:c r="G19" s="74" t="str">
        <x:v>理解 state/node/edge/workflow</x:v>
      </x:c>
      <x:c r="H19" s="74" t="str">
        <x:v>视频资源：
1、LangGraph 新手入门：https://www.bilibili.com/video/BV1iD4y1f7Ga
   选择建议：优先看；可信度：搜索摘要-指标较全；热度分：3638
2、2026 吃透 LangGraph 全套实战教程：https://www.bilibili.com/video/BV1ancBzjEWi
   选择建议：优先看；可信度：搜索摘要-指标较全；热度分：3630
3、3小时完整教程：LangGraph 从入门到实战：https://www.bilibili.com/video/BV1PaWgz1Eu6
   选择建议：备选/换讲法；可信度：搜索摘要-指标较全；热度分：1117
4、LangGraph 多 agent 框架快速入门：https://www.bilibili.com/video/BV1KK4y1q7Pk
   选择建议：备选/换讲法；可信度：搜索摘要-指标较全；热度分：1073
5、LangGraph 官方系列教程 10集全：https://www.bilibili.com/video/BV1cfQHYeEaA
   选择建议：备选/换讲法；可信度：搜索摘要-指标较全；热度分：710
文档 / GitHub / 工具资源：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19" s="74" t="str">
        <x:v>1、安装 LangGraph
2、创建 demos/langgraph/
3、写 input -&gt; process -&gt; output 三节点图
4、打印每个节点 state
5、画流程图</x:v>
      </x:c>
      <x:c r="J19" s="74" t="str">
        <x:v>能运行最小 workflow</x:v>
      </x:c>
      <x:c r="K19" s="74" t="str">
        <x:v>demos/09_langgraph_minimal.py</x:v>
      </x:c>
      <x:c r="L19" s="74" t="str">
        <x:v>未开始</x:v>
      </x:c>
      <x:c r="M19" s="74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0" ht="142.5" customHeight="1">
      <x:c r="A20" s="72" t="str">
        <x:v>5. LangGraph / Agent 状态机</x:v>
      </x:c>
      <x:c r="B20" s="80" t="str">
        <x:v>理论基础篇</x:v>
      </x:c>
      <x:c r="C20" s="80" t="str">
        <x:v>理解 state、node、edge、conditional edge</x:v>
      </x:c>
      <x:c r="D20" s="74" t="str">
        <x:v>第19天</x:v>
      </x:c>
      <x:c r="E20" s="74" t="str">
        <x:v>State 设计</x:v>
      </x:c>
      <x:c r="F20" s="74" t="str">
        <x:v>LangGraph、TypedDict/Pydantic</x:v>
      </x:c>
      <x:c r="G20" s="74" t="str">
        <x:v>把 agent 状态显式建模</x:v>
      </x:c>
      <x:c r="H20" s="74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0" s="74" t="str">
        <x:v>1、定义 messages/task/tool_results/errors
2、改造最小图使用结构化 state
3、记录节点前后 state diff
4、总结哪些信息该进 state
5、写状态设计原则</x:v>
      </x:c>
      <x:c r="J20" s="74" t="str">
        <x:v>能解释 state 为什么重要</x:v>
      </x:c>
      <x:c r="K20" s="74" t="str">
        <x:v>notes/state_design.md</x:v>
      </x:c>
      <x:c r="L20" s="74" t="str">
        <x:v>未开始</x:v>
      </x:c>
      <x:c r="M20" s="74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1" ht="142.5" customHeight="1">
      <x:c r="A21" s="72" t="str">
        <x:v>5. LangGraph / Agent 状态机</x:v>
      </x:c>
      <x:c r="B21" s="88" t="str">
        <x:v>进阶篇</x:v>
      </x:c>
      <x:c r="C21" s="88" t="str">
        <x:v>掌握 planner/executor/reviewer、tool 节点和 human-in-the-loop</x:v>
      </x:c>
      <x:c r="D21" s="82" t="str">
        <x:v>第20天</x:v>
      </x:c>
      <x:c r="E21" s="82" t="str">
        <x:v>Planner/Executor/Reviewer</x:v>
      </x:c>
      <x:c r="F21" s="82" t="str">
        <x:v>LangGraph、DeepSeek API</x:v>
      </x:c>
      <x:c r="G21" s="82" t="str">
        <x:v>用工作流替代单 agent 黑箱</x:v>
      </x:c>
      <x:c r="H21" s="82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1" s="82" t="str">
        <x:v>1、实现 planner 输出步骤
2、executor 执行一步
3、reviewer 判断是否完成
4、最多循环 3 次
5、记录每轮状态变化</x:v>
      </x:c>
      <x:c r="J21" s="82" t="str">
        <x:v>能看到工作流复核机制</x:v>
      </x:c>
      <x:c r="K21" s="82" t="str">
        <x:v>demos/10_planner_executor_reviewer.py</x:v>
      </x:c>
      <x:c r="L21" s="82" t="str">
        <x:v>未开始</x:v>
      </x:c>
      <x:c r="M21" s="82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2" ht="142.5" customHeight="1">
      <x:c r="A22" s="72" t="str">
        <x:v>5. LangGraph / Agent 状态机</x:v>
      </x:c>
      <x:c r="B22" s="88" t="str">
        <x:v>进阶篇</x:v>
      </x:c>
      <x:c r="C22" s="88" t="str">
        <x:v>掌握 planner/executor/reviewer、tool 节点和 human-in-the-loop</x:v>
      </x:c>
      <x:c r="D22" s="82" t="str">
        <x:v>第21天</x:v>
      </x:c>
      <x:c r="E22" s="82" t="str">
        <x:v>LangGraph + Tool</x:v>
      </x:c>
      <x:c r="F22" s="82" t="str">
        <x:v>LangGraph、File/SQL/MCP</x:v>
      </x:c>
      <x:c r="G22" s="82" t="str">
        <x:v>把工具调用放进 workflow</x:v>
      </x:c>
      <x:c r="H22" s="82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2" s="82" t="str">
        <x:v>1、接入 file 或 sql 工具
2、planner 决定是否调用工具
3、executor 执行并写 state
4、reviewer 检查结果充分性
5、记录失败重试</x:v>
      </x:c>
      <x:c r="J22" s="82" t="str">
        <x:v>graph 能稳定完成带工具任务</x:v>
      </x:c>
      <x:c r="K22" s="82" t="str">
        <x:v>demos/11_langgraph_tool.py</x:v>
      </x:c>
      <x:c r="L22" s="82" t="str">
        <x:v>未开始</x:v>
      </x:c>
      <x:c r="M22" s="82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3" ht="142.5" customHeight="1">
      <x:c r="A23" s="72" t="str">
        <x:v>5. LangGraph / Agent 状态机</x:v>
      </x:c>
      <x:c r="B23" s="88" t="str">
        <x:v>进阶篇</x:v>
      </x:c>
      <x:c r="C23" s="88" t="str">
        <x:v>掌握 planner/executor/reviewer、tool 节点和 human-in-the-loop</x:v>
      </x:c>
      <x:c r="D23" s="82" t="str">
        <x:v>第22天</x:v>
      </x:c>
      <x:c r="E23" s="82" t="str">
        <x:v>Human-in-the-loop</x:v>
      </x:c>
      <x:c r="F23" s="82" t="str">
        <x:v>LangGraph、确认机制</x:v>
      </x:c>
      <x:c r="G23" s="82" t="str">
        <x:v>理解危险操作前的人工确认</x:v>
      </x:c>
      <x:c r="H23" s="82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3" s="82" t="str">
        <x:v>1、设计一个需要确认的操作
2、执行前暂停输出确认请求
3、模拟同意/拒绝
4、记录恢复逻辑
5、总结哪些操作必须人工确认</x:v>
      </x:c>
      <x:c r="J23" s="82" t="str">
        <x:v>知道何时必须让人介入</x:v>
      </x:c>
      <x:c r="K23" s="82" t="str">
        <x:v>demos/12_human_loop.py</x:v>
      </x:c>
      <x:c r="L23" s="82" t="str">
        <x:v>未开始</x:v>
      </x:c>
      <x:c r="M23" s="82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4" ht="142.5" customHeight="1">
      <x:c r="A24" s="72" t="str">
        <x:v>5. LangGraph / Agent 状态机</x:v>
      </x:c>
      <x:c r="B24" s="96" t="str">
        <x:v>实战篇</x:v>
      </x:c>
      <x:c r="C24" s="96" t="str">
        <x:v>做一个最小 multi-agent 或多角色协作 demo</x:v>
      </x:c>
      <x:c r="D24" s="90" t="str">
        <x:v>第23天</x:v>
      </x:c>
      <x:c r="E24" s="90" t="str">
        <x:v>Multi-agent</x:v>
      </x:c>
      <x:c r="F24" s="90" t="str">
        <x:v>LangGraph、Agent 设计资料</x:v>
      </x:c>
      <x:c r="G24" s="90" t="str">
        <x:v>用 supervisor 拆任务</x:v>
      </x:c>
      <x:c r="H24" s="90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4" s="90" t="str">
        <x:v>1、设计 researcher/coder/reviewer
2、定义每个角色输入输出
3、supervisor 分配任务
4、合并结果并复核
5、记录分工边界</x:v>
      </x:c>
      <x:c r="J24" s="90" t="str">
        <x:v>multi-agent 有明确边界，不是堆角色</x:v>
      </x:c>
      <x:c r="K24" s="90" t="str">
        <x:v>demos/13_multi_agent.py</x:v>
      </x:c>
      <x:c r="L24" s="90" t="str">
        <x:v>未开始</x:v>
      </x:c>
      <x:c r="M24" s="90" t="str">
        <x:v>最小完成：一个 3 节点 graph 能跑通。
标准完成：state 中记录输入、工具结果、错误，并打印每步变化。
卡住检查：state 类型、节点返回值、边条件、循环终止条件。
降级方案：先不用模型，只用普通函数模拟节点。
复盘问题：显式 state 比单个函数调用多解决了什么问题？</x:v>
      </x:c>
    </x:row>
    <x:row r="25" ht="142.5" customHeight="1">
      <x:c r="A25" s="72" t="str">
        <x:v>6. Memory / 长短期记忆</x:v>
      </x:c>
      <x:c r="B25" s="80" t="str">
        <x:v>理论基础篇</x:v>
      </x:c>
      <x:c r="C25" s="80" t="str">
        <x:v>区分短期记忆、长期记忆、语义召回和用户画像</x:v>
      </x:c>
      <x:c r="D25" s="74" t="str">
        <x:v>第24天</x:v>
      </x:c>
      <x:c r="E25" s="74" t="str">
        <x:v>Memory 概念</x:v>
      </x:c>
      <x:c r="F25" s="74" t="str">
        <x:v>LangGraph、SQLite/JSONL</x:v>
      </x:c>
      <x:c r="G25" s="74" t="str">
        <x:v>区分短期、长期、语义、反思记忆</x:v>
      </x:c>
      <x:c r="H25" s="74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5" s="74" t="str">
        <x:v>1、读 memory 文档
2、做 memory 类型对照表
3、给每种 memory 写例子
4、决定哪些自动保存
5、记录隐私和误记风险</x:v>
      </x:c>
      <x:c r="J25" s="74" t="str">
        <x:v>能解释 agent memory 难点</x:v>
      </x:c>
      <x:c r="K25" s="74" t="str">
        <x:v>notes/memory_taxonomy.md</x:v>
      </x:c>
      <x:c r="L25" s="74" t="str">
        <x:v>未开始</x:v>
      </x:c>
      <x:c r="M25" s="74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6" ht="142.5" customHeight="1">
      <x:c r="A26" s="72" t="str">
        <x:v>6. Memory / 长短期记忆</x:v>
      </x:c>
      <x:c r="B26" s="88" t="str">
        <x:v>进阶篇</x:v>
      </x:c>
      <x:c r="C26" s="88" t="str">
        <x:v>实现 short-term、long-term、semantic recall 的读取与写入规则</x:v>
      </x:c>
      <x:c r="D26" s="82" t="str">
        <x:v>第25天</x:v>
      </x:c>
      <x:c r="E26" s="82" t="str">
        <x:v>Short-term Memory</x:v>
      </x:c>
      <x:c r="F26" s="82" t="str">
        <x:v>LangGraph state</x:v>
      </x:c>
      <x:c r="G26" s="82" t="str">
        <x:v>实现会话内记忆和摘要</x:v>
      </x:c>
      <x:c r="H26" s="82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6" s="82" t="str">
        <x:v>1、在 state 保存 messages 和 summary
2、实现消息裁剪或摘要
3、对比有无摘要结果
4、记录 token 变化
5、写适用场景</x:v>
      </x:c>
      <x:c r="J26" s="82" t="str">
        <x:v>长对话不会无限堆上下文</x:v>
      </x:c>
      <x:c r="K26" s="82" t="str">
        <x:v>demos/14_short_memory.py</x:v>
      </x:c>
      <x:c r="L26" s="82" t="str">
        <x:v>未开始</x:v>
      </x:c>
      <x:c r="M26" s="82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7" ht="142.5" customHeight="1">
      <x:c r="A27" s="72" t="str">
        <x:v>6. Memory / 长短期记忆</x:v>
      </x:c>
      <x:c r="B27" s="88" t="str">
        <x:v>进阶篇</x:v>
      </x:c>
      <x:c r="C27" s="88" t="str">
        <x:v>实现 short-term、long-term、semantic recall 的读取与写入规则</x:v>
      </x:c>
      <x:c r="D27" s="82" t="str">
        <x:v>第26天</x:v>
      </x:c>
      <x:c r="E27" s="82" t="str">
        <x:v>Long-term Memory</x:v>
      </x:c>
      <x:c r="F27" s="82" t="str">
        <x:v>SQLite/JSONL；今天再创建存储</x:v>
      </x:c>
      <x:c r="G27" s="82" t="str">
        <x:v>实现跨会话记忆写入</x:v>
      </x:c>
      <x:c r="H27" s="82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7" s="82" t="str">
        <x:v>1、设计 memory schema
2、写 add/list memory
3、加入是否值得保存判断
4、跨运行读取旧记忆
5、记录误存案例</x:v>
      </x:c>
      <x:c r="J27" s="82" t="str">
        <x:v>能跨会话读取旧信息</x:v>
      </x:c>
      <x:c r="K27" s="82" t="str">
        <x:v>demos/15_long_memory.py</x:v>
      </x:c>
      <x:c r="L27" s="82" t="str">
        <x:v>未开始</x:v>
      </x:c>
      <x:c r="M27" s="82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8" ht="142.5" customHeight="1">
      <x:c r="A28" s="72" t="str">
        <x:v>6. Memory / 长短期记忆</x:v>
      </x:c>
      <x:c r="B28" s="88" t="str">
        <x:v>进阶篇</x:v>
      </x:c>
      <x:c r="C28" s="88" t="str">
        <x:v>实现 short-term、long-term、semantic recall 的读取与写入规则</x:v>
      </x:c>
      <x:c r="D28" s="82" t="str">
        <x:v>第27天</x:v>
      </x:c>
      <x:c r="E28" s="82" t="str">
        <x:v>Semantic Recall</x:v>
      </x:c>
      <x:c r="F28" s="82" t="str">
        <x:v>轻量 embedding；向量库可先不服务化</x:v>
      </x:c>
      <x:c r="G28" s="82" t="str">
        <x:v>用向量召回相关记忆</x:v>
      </x:c>
      <x:c r="H28" s="82" t="str">
        <x:v>视频资源：
1、注意力机制的本质 | Self-Attention | Transformer | QKV矩阵：https://www.bilibili.com/video/BV1dt4y1J7ov
   选择建议：优先看；可信度：搜索摘要-指标较全；热度分：56120
2、All in Transformer | 一次讲透注意力机制：https://www.bilibili.com/video/BV16f1mB7Ebj
   选择建议：优先看；可信度：搜索摘要-指标较全；热度分：11088
3、大白话浅谈注意力机制：https://www.bilibili.com/video/BV1Ff4y187nr
   选择建议：备选/换讲法；可信度：搜索摘要-指标较全；热度分：9694
4、白话 Transformer（一）注意力机制：https://www.bilibili.com/video/BV1bu4m137W1
   选择建议：备选/换讲法；可信度：搜索摘要-指标较全；热度分：5323
5、通俗易懂理解自注意力机制 Self-Attention：https://www.bilibili.com/video/BV1sw4m1k7Gt
   选择建议：备选/换讲法；可信度：搜索摘要-指标较全；热度分：5175
文档 / GitHub / 工具资源：
1、The Illustrated Transformer：https://jalammar.github.io/illustrated-transformer/
2、Hugging Face NLP Course：https://huggingface.co/learn/nlp-course/chapter1/1
3、OpenAI Embeddings：https://platform.openai.com/docs/guides/embeddings
资源对比说明：
完整播放/点赞/投币/收藏对比见「模块视频Top5」页。</x:v>
      </x:c>
      <x:c r="I28" s="82" t="str">
        <x:v>1、给记忆生成 embedding
2、写 recall(query, top_k)
3、把召回内容注入 prompt
4、测试 5 个查询
5、记录召回错配案例</x:v>
      </x:c>
      <x:c r="J28" s="82" t="str">
        <x:v>不会全量塞记忆，而是相关召回</x:v>
      </x:c>
      <x:c r="K28" s="82" t="str">
        <x:v>demos/16_semantic_memory.py</x:v>
      </x:c>
      <x:c r="L28" s="82" t="str">
        <x:v>未开始</x:v>
      </x:c>
      <x:c r="M28" s="82" t="str">
        <x:v>最小完成：把一条记忆写入 JSONL/SQLite 并读取。
标准完成：能判断是否保存、能按 query 召回。
卡住检查：记忆字段是否太少、是否误存临时信息、是否全量塞上下文。
降级方案：先不用 embedding，只做关键词召回。
复盘问题：这条记忆下次真的有用吗？</x:v>
      </x:c>
    </x:row>
    <x:row r="29" ht="142.5" customHeight="1">
      <x:c r="A29" s="72" t="str">
        <x:v>6. Memory / 长短期记忆</x:v>
      </x:c>
      <x:c r="B29" s="96" t="str">
        <x:v>实战篇</x:v>
      </x:c>
      <x:c r="C29" s="96" t="str">
        <x:v>复盘 memory 设计，决定毕业项目如何使用记忆</x:v>
      </x:c>
      <x:c r="D29" s="90" t="str">
        <x:v>第28天</x:v>
      </x:c>
      <x:c r="E29" s="90" t="str">
        <x:v>阶段复盘</x:v>
      </x:c>
      <x:c r="F29" s="90" t="str">
        <x:v>LangGraph + Memory demos</x:v>
      </x:c>
      <x:c r="G29" s="90" t="str">
        <x:v>沉淀一个可复用 agent skeleton</x:v>
      </x:c>
      <x:c r="H29" s="90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29" s="90" t="str">
        <x:v>1、整理第18-27天代码
2、画最终 workflow 图
3、写节点职责表
4、标出可复用模板
5、更新 README</x:v>
      </x:c>
      <x:c r="J29" s="90" t="str">
        <x:v>形成可复用 LangGraph/Memory 骨架</x:v>
      </x:c>
      <x:c r="K29" s="90" t="str">
        <x:v>notes/langgraph_memory_review.md</x:v>
      </x:c>
      <x:c r="L29" s="90" t="str">
        <x:v>未开始</x:v>
      </x:c>
      <x:c r="M29" s="90" t="str">
        <x:v>最小完成：把 LangGraph 和 Memory demo 放进同一个 README。
标准完成：画 workflow 图，列出可复用节点。
卡住检查：不要重构所有代码，先整理能跑的最小骨架。
降级方案：只写架构说明和下一步 TODO。
复盘问题：哪些节点可以在毕业项目复用？</x:v>
      </x:c>
    </x:row>
    <x:row r="30" ht="142.5" customHeight="1">
      <x:c r="A30" s="72" t="str">
        <x:v>7. RAG / 知识库 Agent</x:v>
      </x:c>
      <x:c r="B30" s="80" t="str">
        <x:v>理论基础篇</x:v>
      </x:c>
      <x:c r="C30" s="80" t="str">
        <x:v>理解 chunk、embedding、retrieval、rerank、answer generation</x:v>
      </x:c>
      <x:c r="D30" s="74" t="str">
        <x:v>第29天</x:v>
      </x:c>
      <x:c r="E30" s="74" t="str">
        <x:v>RAG 向量库搭建</x:v>
      </x:c>
      <x:c r="F30" s="74" t="str">
        <x:v>Chroma 优先；需要服务化时再 Docker/Qdrant</x:v>
      </x:c>
      <x:c r="G30" s="74" t="str">
        <x:v>第一次进入 RAG，今天再搭向量库</x:v>
      </x:c>
      <x:c r="H30" s="74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0" s="74" t="str">
        <x:v>1、安装 Chroma 或启动 Qdrant，推荐先 Chroma
2、准备 3 篇 markdown/txt/pdf
3、切 chunk
4、写入向量库
5、查询并让模型基于片段回答</x:v>
      </x:c>
      <x:c r="J30" s="74" t="str">
        <x:v>文档问答可运行，有引用来源</x:v>
      </x:c>
      <x:c r="K30" s="74" t="str">
        <x:v>demos/17_basic_rag.py</x:v>
      </x:c>
      <x:c r="L30" s="74" t="str">
        <x:v>未开始</x:v>
      </x:c>
      <x:c r="M30" s="74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1" ht="142.5" customHeight="1">
      <x:c r="A31" s="72" t="str">
        <x:v>7. RAG / 知识库 Agent</x:v>
      </x:c>
      <x:c r="B31" s="88" t="str">
        <x:v>进阶篇</x:v>
      </x:c>
      <x:c r="C31" s="88" t="str">
        <x:v>实验 chunking、hybrid/rerank、parent retrieval 和 RAG eval</x:v>
      </x:c>
      <x:c r="D31" s="82" t="str">
        <x:v>第30天</x:v>
      </x:c>
      <x:c r="E31" s="82" t="str">
        <x:v>Chunking 实验</x:v>
      </x:c>
      <x:c r="F31" s="82" t="str">
        <x:v>RAG demo、evals/</x:v>
      </x:c>
      <x:c r="G31" s="82" t="str">
        <x:v>理解切分策略影响</x:v>
      </x:c>
      <x:c r="H31" s="82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1" s="82" t="str">
        <x:v>1、设置 3 种 chunk size/overlap
2、对同一问题检索 top_k
3、记录命中率和噪音
4、选择策略
5、写实验结论</x:v>
      </x:c>
      <x:c r="J31" s="82" t="str">
        <x:v>知道 RAG 质量不只是换模型</x:v>
      </x:c>
      <x:c r="K31" s="82" t="str">
        <x:v>evals/chunking_experiment.xlsx</x:v>
      </x:c>
      <x:c r="L31" s="82" t="str">
        <x:v>未开始</x:v>
      </x:c>
      <x:c r="M31" s="82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2" ht="142.5" customHeight="1">
      <x:c r="A32" s="72" t="str">
        <x:v>7. RAG / 知识库 Agent</x:v>
      </x:c>
      <x:c r="B32" s="88" t="str">
        <x:v>进阶篇</x:v>
      </x:c>
      <x:c r="C32" s="88" t="str">
        <x:v>实验 chunking、hybrid/rerank、parent retrieval 和 RAG eval</x:v>
      </x:c>
      <x:c r="D32" s="82" t="str">
        <x:v>第31天</x:v>
      </x:c>
      <x:c r="E32" s="82" t="str">
        <x:v>Hybrid/Rerank</x:v>
      </x:c>
      <x:c r="F32" s="82" t="str">
        <x:v>RAG、关键词检索</x:v>
      </x:c>
      <x:c r="G32" s="82" t="str">
        <x:v>理解召回与排序分离</x:v>
      </x:c>
      <x:c r="H32" s="82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2" s="82" t="str">
        <x:v>1、实现关键词检索思路
2、实现向量检索
3、合并结果
4、人工或模型评分比较
5、记录不同问题类型的差异</x:v>
      </x:c>
      <x:c r="J32" s="82" t="str">
        <x:v>能解释 hybrid search 的价值</x:v>
      </x:c>
      <x:c r="K32" s="82" t="str">
        <x:v>demos/18_hybrid_search.py</x:v>
      </x:c>
      <x:c r="L32" s="82" t="str">
        <x:v>未开始</x:v>
      </x:c>
      <x:c r="M32" s="82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3" ht="142.5" customHeight="1">
      <x:c r="A33" s="72" t="str">
        <x:v>7. RAG / 知识库 Agent</x:v>
      </x:c>
      <x:c r="B33" s="88" t="str">
        <x:v>进阶篇</x:v>
      </x:c>
      <x:c r="C33" s="88" t="str">
        <x:v>实验 chunking、hybrid/rerank、parent retrieval 和 RAG eval</x:v>
      </x:c>
      <x:c r="D33" s="82" t="str">
        <x:v>第32天</x:v>
      </x:c>
      <x:c r="E33" s="82" t="str">
        <x:v>Parent Retrieval</x:v>
      </x:c>
      <x:c r="F33" s="82" t="str">
        <x:v>RAG 文档结构</x:v>
      </x:c>
      <x:c r="G33" s="82" t="str">
        <x:v>解决 chunk 太碎问题</x:v>
      </x:c>
      <x:c r="H33" s="82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3" s="82" t="str">
        <x:v>1、建立 parent docs 和 child chunks
2、检索 child 返回 parent
3、对比普通 RAG
4、记录改善案例
5、写适用边界</x:v>
      </x:c>
      <x:c r="J33" s="82" t="str">
        <x:v>知道什么时候需要 parent retrieval</x:v>
      </x:c>
      <x:c r="K33" s="82" t="str">
        <x:v>demos/19_parent_retrieval.py</x:v>
      </x:c>
      <x:c r="L33" s="82" t="str">
        <x:v>未开始</x:v>
      </x:c>
      <x:c r="M33" s="82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4" ht="142.5" customHeight="1">
      <x:c r="A34" s="72" t="str">
        <x:v>7. RAG / 知识库 Agent</x:v>
      </x:c>
      <x:c r="B34" s="88" t="str">
        <x:v>进阶篇</x:v>
      </x:c>
      <x:c r="C34" s="88" t="str">
        <x:v>实验 chunking、hybrid/rerank、parent retrieval 和 RAG eval</x:v>
      </x:c>
      <x:c r="D34" s="82" t="str">
        <x:v>第33天</x:v>
      </x:c>
      <x:c r="E34" s="82" t="str">
        <x:v>RAG Eval</x:v>
      </x:c>
      <x:c r="F34" s="82" t="str">
        <x:v>evals/、RAG demo</x:v>
      </x:c>
      <x:c r="G34" s="82" t="str">
        <x:v>建立问答评测集</x:v>
      </x:c>
      <x:c r="H34" s="82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4" s="82" t="str">
        <x:v>1、写 20 个问题和标准答案
2、记录 retrieved chunks 是否命中
3、记录答案是否忠实
4、计算通过率
5、根据结果改 chunk/prompt</x:v>
      </x:c>
      <x:c r="J34" s="82" t="str">
        <x:v>能用 eval 判断系统是否变好</x:v>
      </x:c>
      <x:c r="K34" s="82" t="str">
        <x:v>evals/rag_eval.xlsx</x:v>
      </x:c>
      <x:c r="L34" s="82" t="str">
        <x:v>未开始</x:v>
      </x:c>
      <x:c r="M34" s="82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
RAG 特别注意：每个问题都记录 retrieved chunks 是否命中。</x:v>
      </x:c>
    </x:row>
    <x:row r="35" ht="142.5" customHeight="1">
      <x:c r="A35" s="72" t="str">
        <x:v>7. RAG / 知识库 Agent</x:v>
      </x:c>
      <x:c r="B35" s="96" t="str">
        <x:v>实战篇</x:v>
      </x:c>
      <x:c r="C35" s="96" t="str">
        <x:v>完成知识库 Agent v1，并用固定问题集评估</x:v>
      </x:c>
      <x:c r="D35" s="90" t="str">
        <x:v>第34天</x:v>
      </x:c>
      <x:c r="E35" s="90" t="str">
        <x:v>知识库 Agent v1</x:v>
      </x:c>
      <x:c r="F35" s="90" t="str">
        <x:v>LangGraph、RAG、Memory</x:v>
      </x:c>
      <x:c r="G35" s="90" t="str">
        <x:v>把 RAG、Memory、Tool 串起来</x:v>
      </x:c>
      <x:c r="H35" s="90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5" s="90" t="str">
        <x:v>1、选择真实知识库主题
2、接入文档检索
3、加入对话记忆
4、用 LangGraph 编排检索、回答、复核
5、测试 10 个问题</x:v>
      </x:c>
      <x:c r="J35" s="90" t="str">
        <x:v>得到可演示知识库 agent</x:v>
      </x:c>
      <x:c r="K35" s="90" t="str">
        <x:v>demos/20_knowledge_agent.py</x:v>
      </x:c>
      <x:c r="L35" s="90" t="str">
        <x:v>未开始</x:v>
      </x:c>
      <x:c r="M35" s="90" t="str">
        <x:v>最小完成：3 篇文档切 chunk 后能检索 top_k。
标准完成：回答中引用检索片段，并用 eval 判断质量。
卡住检查：chunk 太大/太小、检索词不匹配、文档格式噪音、答案没有引用。
降级方案：先用 txt/markdown，不要一开始处理复杂 PDF。
复盘问题：问题答错是检索错、排序错，还是生成错？</x:v>
      </x:c>
    </x:row>
    <x:row r="36" ht="142.5" customHeight="1">
      <x:c r="A36" s="72" t="str">
        <x:v>8. Dify / Workflow 对照</x:v>
      </x:c>
      <x:c r="B36" s="80" t="str">
        <x:v>理论基础篇</x:v>
      </x:c>
      <x:c r="C36" s="80" t="str">
        <x:v>理解 Dify 如何抽象模型、知识库、工作流和 Agent</x:v>
      </x:c>
      <x:c r="D36" s="74" t="str">
        <x:v>第35天</x:v>
      </x:c>
      <x:c r="E36" s="74" t="str">
        <x:v>Dify 本地搭建</x:v>
      </x:c>
      <x:c r="F36" s="74" t="str">
        <x:v>Docker Compose、Dify；今天才搭</x:v>
      </x:c>
      <x:c r="G36" s="74" t="str">
        <x:v>用平台对照代码版 RAG</x:v>
      </x:c>
      <x:c r="H36" s="74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I36" s="74" t="str">
        <x:v>1、阅读 Dify Docker Compose 文档
2、确认 Docker 可用
3、启动 Dify
4、创建 Knowledge 并上传同一批文档
5、记录安装坑点</x:v>
      </x:c>
      <x:c r="J36" s="74" t="str">
        <x:v>能访问 Dify 页面并创建 Knowledge</x:v>
      </x:c>
      <x:c r="K36" s="74" t="str">
        <x:v>notes/dify_setup.md</x:v>
      </x:c>
      <x:c r="L36" s="74" t="str">
        <x:v>未开始</x:v>
      </x:c>
      <x:c r="M36" s="74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7" ht="142.5" customHeight="1">
      <x:c r="A37" s="72" t="str">
        <x:v>8. Dify / Workflow 对照</x:v>
      </x:c>
      <x:c r="B37" s="88" t="str">
        <x:v>进阶篇</x:v>
      </x:c>
      <x:c r="C37" s="88" t="str">
        <x:v>把代码版 RAG 映射到 Dify 知识库和配置</x:v>
      </x:c>
      <x:c r="D37" s="82" t="str">
        <x:v>第36天</x:v>
      </x:c>
      <x:c r="E37" s="82" t="str">
        <x:v>Dify RAG 对照</x:v>
      </x:c>
      <x:c r="F37" s="82" t="str">
        <x:v>Dify Knowledge、前面同一批文档</x:v>
      </x:c>
      <x:c r="G37" s="82" t="str">
        <x:v>理解 Dify 抽象了哪些 RAG 细节</x:v>
      </x:c>
      <x:c r="H37" s="82" t="str">
        <x:v>视频资源：
1、RAG快速入门教程：理论+优化+评估+项目实战一条龙：https://www.bilibili.com/video/BV1ug3qzhEp9
   选择建议：优先看；可信度：搜索摘要-指标较全；热度分：1854134
2、大模型 RAG 技术教程：入门到企业级实战：https://www.bilibili.com/video/BV1Fsd8YeExh
   选择建议：优先看；可信度：搜索摘要-指标较全；热度分：15651
3、最适合新手的大模型 RAG 入门课程：https://www.bilibili.com/video/BV1hj5DzyE5d
   选择建议：备选/换讲法；可信度：搜索摘要-指标较全；热度分：15618
4、大模型 RAG 完整教程：完整 RAG 项目：https://www.bilibili.com/video/BV16fDfYNEzg
   选择建议：备选/换讲法；可信度：搜索摘要-指标较全；热度分：6305
5、RAG训练营 - AI Engineering Bootcamp：https://www.bilibili.com/video/BV1vkNqeqEin
   选择建议：备选/换讲法；可信度：搜索摘要-指标较全；热度分：1467
文档 / GitHub / 工具资源：
1、LangChain RAG Docs：https://python.langchain.com/docs/tutorials/rag/
2、Chroma Docs：https://docs.trychroma.com/
3、RAGAS：https://docs.ragas.io/
资源对比说明：
完整播放/点赞/投币/收藏对比见「模块视频Top5」页。</x:v>
      </x:c>
      <x:c r="I37" s="82" t="str">
        <x:v>1、配置 chunk/retrieval 参数
2、测试与代码版相同问题
3、记录命中和回答差异
4、调整参数
5、写对比结论</x:v>
      </x:c>
      <x:c r="J37" s="82" t="str">
        <x:v>能说明代码版和 Dify 版优缺点</x:v>
      </x:c>
      <x:c r="K37" s="82" t="str">
        <x:v>notes/dify_rag_compare.md</x:v>
      </x:c>
      <x:c r="L37" s="82" t="str">
        <x:v>未开始</x:v>
      </x:c>
      <x:c r="M37" s="82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8" ht="142.5" customHeight="1">
      <x:c r="A38" s="72" t="str">
        <x:v>8. Dify / Workflow 对照</x:v>
      </x:c>
      <x:c r="B38" s="96" t="str">
        <x:v>实战篇</x:v>
      </x:c>
      <x:c r="C38" s="96" t="str">
        <x:v>完成 Dify Workflow / Agent 对照实验</x:v>
      </x:c>
      <x:c r="D38" s="90" t="str">
        <x:v>第37天</x:v>
      </x:c>
      <x:c r="E38" s="90" t="str">
        <x:v>Dify Workflow / Agent</x:v>
      </x:c>
      <x:c r="F38" s="90" t="str">
        <x:v>Dify、API Key</x:v>
      </x:c>
      <x:c r="G38" s="90" t="str">
        <x:v>用 Dify 观察产品化 agent</x:v>
      </x:c>
      <x:c r="H38" s="90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I38" s="90" t="str">
        <x:v>1、创建 Workflow 或 Agent
2、加入知识库和一个工具/API
3、测试 10 个问题
4、截图记录配置
5、总结产品化入口</x:v>
      </x:c>
      <x:c r="J38" s="90" t="str">
        <x:v>能把 RAG 应用做成可用入口</x:v>
      </x:c>
      <x:c r="K38" s="90" t="str">
        <x:v>notes/dify_agent_lab.md</x:v>
      </x:c>
      <x:c r="L38" s="90" t="str">
        <x:v>未开始</x:v>
      </x:c>
      <x:c r="M38" s="90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</x:v>
      </x:c>
    </x:row>
    <x:row r="39" ht="142.5" customHeight="1">
      <x:c r="A39" s="72" t="str">
        <x:v>9. Agent 工程 / OpenClaw / AI Coding / 毕业项目</x:v>
      </x:c>
      <x:c r="B39" s="80" t="str">
        <x:v>理论基础篇</x:v>
      </x:c>
      <x:c r="C39" s="80" t="str">
        <x:v>理解 Agent 设计模式、AI Coding 上下文、OpenClaw 风险和产品边界</x:v>
      </x:c>
      <x:c r="D39" s="74" t="str">
        <x:v>第38天</x:v>
      </x:c>
      <x:c r="E39" s="74" t="str">
        <x:v>Agent 设计模式</x:v>
      </x:c>
      <x:c r="F39" s="74" t="str">
        <x:v>Agent 课程/GitHub</x:v>
      </x:c>
      <x:c r="G39" s="74" t="str">
        <x:v>理解 planner/tool/reflection/multi-agent 模式</x:v>
      </x:c>
      <x:c r="H39" s="74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39" s="74" t="str">
        <x:v>1、读 Microsoft AI Agents 目录
2、选 3 个模式做笔记
3、映射到你的知识库 agent
4、记录适用场景
5、更新项目设计</x:v>
      </x:c>
      <x:c r="J39" s="74" t="str">
        <x:v>能从模式角度设计 agent</x:v>
      </x:c>
      <x:c r="K39" s="74" t="str">
        <x:v>notes/agent_patterns.md</x:v>
      </x:c>
      <x:c r="L39" s="74" t="str">
        <x:v>未开始</x:v>
      </x:c>
      <x:c r="M39" s="74" t="str">
        <x:v>最小完成：读 1 个 agent 模式并映射到自己的项目。
标准完成：planner/tool/reflection/multi-agent 各写适用场景。
卡住检查：不要背模式名，问它解决了什么工程问题。
降级方案：只选一个模式深入。
复盘问题：你的项目真的需要 multi-agent 吗？</x:v>
      </x:c>
    </x:row>
    <x:row r="40" ht="142.5" customHeight="1">
      <x:c r="A40" s="72" t="str">
        <x:v>9. Agent 工程 / OpenClaw / AI Coding / 毕业项目</x:v>
      </x:c>
      <x:c r="B40" s="80" t="str">
        <x:v>理论基础篇</x:v>
      </x:c>
      <x:c r="C40" s="80" t="str">
        <x:v>理解 Agent 设计模式、AI Coding 上下文、OpenClaw 风险和产品边界</x:v>
      </x:c>
      <x:c r="D40" s="74" t="str">
        <x:v>第39天</x:v>
      </x:c>
      <x:c r="E40" s="74" t="str">
        <x:v>AI Coding 上下文</x:v>
      </x:c>
      <x:c r="F40" s="74" t="str">
        <x:v>Claude Code/Codex/Cursor 文档</x:v>
      </x:c>
      <x:c r="G40" s="74" t="str">
        <x:v>理解 coding agent 的上下文工程</x:v>
      </x:c>
      <x:c r="H40" s="74" t="str">
        <x:v>视频资源：
1、Claude Code 从 0 到 1 全攻略：https://www.bilibili.com/video/BV14rzQB9EJj
   选择建议：优先看；可信度：搜索摘要-指标较全；热度分：54356
2、Claude Code 入门：组建 AI Agent 员工团队：https://www.bilibili.com/video/BV14e8JzdEgH
   选择建议：优先看；可信度：搜索摘要-指标较全；热度分：10309
3、多线程 AI 实习生在线爆肝：Claude Code 上岗：https://www.bilibili.com/video/BV1rpTdz8Ece
   选择建议：备选/换讲法；可信度：搜索摘要-指标较全；热度分：3716
4、Cursor+Claude AI编程 1天快速上手：https://www.bilibili.com/video/BV1KocTzHE3Z
   选择建议：备选/换讲法；可信度：搜索摘要-指标较全；热度分：3515
5、Anthropic官方演示：30分钟精通 Claude Code：https://www.bilibili.com/video/BV1vSjJzBEsY
   选择建议：备选/换讲法；可信度：搜索摘要-指标较全；热度分：1703
文档 / GitHub / 工具资源：
1、Claude Code Docs：https://docs.anthropic.com/en/docs/claude-code
2、Cursor Docs：https://docs.cursor.com/
3、GitHub Copilot Docs：https://docs.github.com/en/copilot
资源对比说明：
完整播放/点赞/投币/收藏对比见「模块视频Top5」页。</x:v>
      </x:c>
      <x:c r="I40" s="74" t="str">
        <x:v>1、看 Claude Code 或 Cursor 视频
2、读官方文档
3、为项目写 AGENTS.md
4、让 coding agent 修一个小问题
5、记录上下文是否充分</x:v>
      </x:c>
      <x:c r="J40" s="74" t="str">
        <x:v>agent 能根据上下文稳定工作</x:v>
      </x:c>
      <x:c r="K40" s="74" t="str">
        <x:v>AGENTS.md + README update</x:v>
      </x:c>
      <x:c r="L40" s="74" t="str">
        <x:v>未开始</x:v>
      </x:c>
      <x:c r="M40" s="74" t="str">
        <x:v>最小完成：写 AGENTS.md 或 README 的运行说明。
标准完成：让 coding agent 按说明修一个小问题。
卡住检查：上下文是否缺安装命令、测试命令、目录说明。
降级方案：只写上下文文档，不让 agent 改代码。
复盘问题：agent 出错是能力问题，还是你给的上下文不够？</x:v>
      </x:c>
    </x:row>
    <x:row r="41" ht="142.5" customHeight="1">
      <x:c r="A41" s="72" t="str">
        <x:v>9. Agent 工程 / OpenClaw / AI Coding / 毕业项目</x:v>
      </x:c>
      <x:c r="B41" s="80" t="str">
        <x:v>理论基础篇</x:v>
      </x:c>
      <x:c r="C41" s="80" t="str">
        <x:v>理解 Agent 设计模式、AI Coding 上下文、OpenClaw 风险和产品边界</x:v>
      </x:c>
      <x:c r="D41" s="74" t="str">
        <x:v>第40天</x:v>
      </x:c>
      <x:c r="E41" s="74" t="str">
        <x:v>安全与评估</x:v>
      </x:c>
      <x:c r="F41" s="74" t="str">
        <x:v>工具日志、evals</x:v>
      </x:c>
      <x:c r="G41" s="74" t="str">
        <x:v>给 agent 加边界和回归测试</x:v>
      </x:c>
      <x:c r="H41" s="74" t="str">
        <x:v>视频资源：
1、Tool Calling 2.0 来了：做 Agent 的人一定要看：https://www.bilibili.com/video/BV1SMfKB7E9c
   选择建议：优先看；可信度：搜索摘要-指标较全；热度分：3537
2、大模型 Function calling 技术详解 | 自动调用外部工具 API：https://www.bilibili.com/video/BV1Qv42167ZU
   选择建议：优先看；可信度：搜索摘要-指标较全；热度分：1173
3、大模型 Function Calling 到底怎么实现？底层原理是什么？：https://www.bilibili.com/video/BV1oYcDzdE5f
   选择建议：备选/换讲法；可信度：搜索摘要-指标较全；热度分：1027
4、从零到一掌握 Function Calling（理论+代码）：https://www.bilibili.com/video/BV1mp2dYtEAs
   选择建议：备选/换讲法；可信度：搜索摘要-指标较全；热度分：539
5、Function calling 技术详解 13 集保姆级讲解：https://www.bilibili.com/video/BV1SJm8YtETd
   选择建议：备选/换讲法；可信度：搜索摘要-指标较全；热度分：379
文档 / GitHub / 工具资源：
1、OpenAI Function Calling：https://platform.openai.com/docs/guides/function-calling
2、JSON Schema：https://json-schema.org/learn/getting-started-step-by-step
3、OpenAI Cookbook：https://github.com/openai/openai-cookbook
资源对比说明：
完整播放/点赞/投币/收藏对比见「模块视频Top5」页。</x:v>
      </x:c>
      <x:c r="I41" s="74" t="str">
        <x:v>1、列危险工具和敏感数据
2、加工具调用日志
3、写 5 个回归测试
4、设计失败降级策略
5、跑一轮回归</x:v>
      </x:c>
      <x:c r="J41" s="74" t="str">
        <x:v>出错可定位，不是黑箱</x:v>
      </x:c>
      <x:c r="K41" s="74" t="str">
        <x:v>notes/agent_safety_eval.md</x:v>
      </x:c>
      <x:c r="L41" s="74" t="str">
        <x:v>未开始</x:v>
      </x:c>
      <x:c r="M41" s="74" t="str">
        <x:v>最小完成：手写一个工具 schema 和假执行结果。
标准完成：模型决定调用工具，程序执行并返回结果。
卡住检查：schema 是否太宽、工具是否有副作用、错误是否可见。
降级方案：先不用模型决策，手动调用工具验证函数本身。
复盘问题：这个工具的输入边界和失败模式是什么？
评估特别注意：至少写 5 个回归用例，覆盖失败路径。</x:v>
      </x:c>
    </x:row>
    <x:row r="42" ht="142.5" customHeight="1">
      <x:c r="A42" s="72" t="str">
        <x:v>9. Agent 工程 / OpenClaw / AI Coding / 毕业项目</x:v>
      </x:c>
      <x:c r="B42" s="80" t="str">
        <x:v>理论基础篇</x:v>
      </x:c>
      <x:c r="C42" s="80" t="str">
        <x:v>理解 Agent 设计模式、AI Coding 上下文、OpenClaw 风险和产品边界</x:v>
      </x:c>
      <x:c r="D42" s="74" t="str">
        <x:v>第41天</x:v>
      </x:c>
      <x:c r="E42" s="74" t="str">
        <x:v>OpenClaw 观察实验</x:v>
      </x:c>
      <x:c r="F42" s="74" t="str">
        <x:v>OpenClaw 隔离目录、测试账号；可只读文档不安装</x:v>
      </x:c>
      <x:c r="G42" s="74" t="str">
        <x:v>观察 Agent OS 的持久化和高权限风险</x:v>
      </x:c>
      <x:c r="H42" s="74" t="str">
        <x:v>视频资源：
1、OpenClaw 教程 / Browser Agent 实战：https://www.bilibili.com/search?keyword=OpenClaw%20AI%20Agent%20%E6%95%99%E7%A8%8B
   选择建议：优先看；可信度：待人工核验；热度分：待核验
2、OpenClaw AI Agent Tutorial：https://www.youtube.com/results?search_query=OpenClaw+AI+Agent+tutorial
   选择建议：优先看；可信度：待人工核验；热度分：待核验
3、Browser-use AI Agent Tutorial：https://www.youtube.com/results?search_query=browser-use+AI+agent+tutorial
   选择建议：备选/换讲法；可信度：待人工核验；热度分：待核验
4、Claude Computer Use / Browser Agent Tutorial：https://www.youtube.com/results?search_query=Claude+computer+use+browser+agent+tutorial
   选择建议：备选/换讲法；可信度：待人工核验；热度分：待核验
5、大模型浏览器自动化 Agent 实战：https://www.bilibili.com/search?keyword=%E5%A4%A7%E6%A8%A1%E5%9E%8B%20%E6%B5%8F%E8%A7%88%E5%99%A8%20Agent%20%E8%87%AA%E5%8A%A8%E5%8C%96
   选择建议：备选/换讲法；可信度：待人工核验；热度分：待核验
文档 / GitHub / 工具资源：
1、OpenClaw：https://openclaw.ai/
2、OpenClaw GitHub：https://github.com/openclaw/openclaw
3、browser-use GitHub：https://github.com/browser-use/browser-use
资源对比说明：
OpenClaw 视频指标多为待人工核验，主依据建议看 GitHub/官方文档；完整候选见「模块视频Top5」。</x:v>
      </x:c>
      <x:c r="I42" s="74" t="str">
        <x:v>1、阅读 OpenClaw 官网和文档
2、创建隔离目录和测试账号
3、不接真实邮箱、支付、生产系统
4、观察 runtime/workspace/session/tools 概念
5、写和 Dify/LangGraph/MCP 的对照</x:v>
      </x:c>
      <x:c r="J42" s="74" t="str">
        <x:v>形成安全边界清单；如安装必须隔离</x:v>
      </x:c>
      <x:c r="K42" s="74" t="str">
        <x:v>notes/openclaw_compare.md</x:v>
      </x:c>
      <x:c r="L42" s="74" t="str">
        <x:v>未开始</x:v>
      </x:c>
      <x:c r="M42" s="74" t="str">
        <x:v>最小完成：只读文档并写安全边界。
标准完成：如果安装，也只在隔离目录和测试账号中试。
卡住检查：不要急着给真实权限；先理解 workspace、tools、session。
降级方案：不安装也可以完成当天，输出对照分析即可。
复盘问题：这种高权限 agent 最大风险是什么？</x:v>
      </x:c>
    </x:row>
    <x:row r="43" ht="142.5" customHeight="1">
      <x:c r="A43" s="72" t="str">
        <x:v>9. Agent 工程 / OpenClaw / AI Coding / 毕业项目</x:v>
      </x:c>
      <x:c r="B43" s="88" t="str">
        <x:v>进阶篇</x:v>
      </x:c>
      <x:c r="C43" s="88" t="str">
        <x:v>补齐产品化、安全、评估和阶段复盘</x:v>
      </x:c>
      <x:c r="D43" s="82" t="str">
        <x:v>第42天</x:v>
      </x:c>
      <x:c r="E43" s="82" t="str">
        <x:v>产品化思维</x:v>
      </x:c>
      <x:c r="F43" s="82" t="str">
        <x:v>Dify 或 CLI/UI</x:v>
      </x:c>
      <x:c r="G43" s="82" t="str">
        <x:v>把 demo 变成可用工具</x:v>
      </x:c>
      <x:c r="H43" s="82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43" s="82" t="str">
        <x:v>1、写目标用户和核心场景
2、删掉不必要功能
3、定义输入输出和错误提示
4、选择 CLI、Dify 或简单 UI 入口
5、整理用户路径</x:v>
      </x:c>
      <x:c r="J43" s="82" t="str">
        <x:v>demo 有清晰使用方式</x:v>
      </x:c>
      <x:c r="K43" s="82" t="str">
        <x:v>notes/product_spec.md</x:v>
      </x:c>
      <x:c r="L43" s="82" t="str">
        <x:v>未开始</x:v>
      </x:c>
      <x:c r="M43" s="82" t="str">
        <x:v>最小完成：写出用户、场景、输入、输出。
标准完成：把 demo 做成 CLI/Dify/UI 中的一种可用入口。
卡住检查：功能是否太多、用户路径是否太长、错误提示是否可理解。
降级方案：先只做 CLI，产品化界面以后再补。
复盘问题：别人不用你解释，能不能独立跑起来？</x:v>
      </x:c>
    </x:row>
    <x:row r="44" ht="142.5" customHeight="1">
      <x:c r="A44" s="72" t="str">
        <x:v>9. Agent 工程 / OpenClaw / AI Coding / 毕业项目</x:v>
      </x:c>
      <x:c r="B44" s="88" t="str">
        <x:v>进阶篇</x:v>
      </x:c>
      <x:c r="C44" s="88" t="str">
        <x:v>补齐产品化、安全、评估和阶段复盘</x:v>
      </x:c>
      <x:c r="D44" s="82" t="str">
        <x:v>第43天</x:v>
      </x:c>
      <x:c r="E44" s="82" t="str">
        <x:v>阶段复盘</x:v>
      </x:c>
      <x:c r="F44" s="82" t="str">
        <x:v>前面所有材料</x:v>
      </x:c>
      <x:c r="G44" s="82" t="str">
        <x:v>决定毕业项目的最小范围</x:v>
      </x:c>
      <x:c r="H44" s="82" t="str">
        <x:v>视频资源：
1、Claude Code 从 0 到 1 全攻略：https://www.bilibili.com/video/BV14rzQB9EJj
   选择建议：优先看；可信度：搜索摘要-指标较全；热度分：54356
2、Claude Code 入门：组建 AI Agent 员工团队：https://www.bilibili.com/video/BV14e8JzdEgH
   选择建议：优先看；可信度：搜索摘要-指标较全；热度分：10309
3、多线程 AI 实习生在线爆肝：Claude Code 上岗：https://www.bilibili.com/video/BV1rpTdz8Ece
   选择建议：备选/换讲法；可信度：搜索摘要-指标较全；热度分：3716
4、Cursor+Claude AI编程 1天快速上手：https://www.bilibili.com/video/BV1KocTzHE3Z
   选择建议：备选/换讲法；可信度：搜索摘要-指标较全；热度分：3515
5、Anthropic官方演示：30分钟精通 Claude Code：https://www.bilibili.com/video/BV1vSjJzBEsY
   选择建议：备选/换讲法；可信度：搜索摘要-指标较全；热度分：1703
文档 / GitHub / 工具资源：
1、Claude Code Docs：https://docs.anthropic.com/en/docs/claude-code
2、Cursor Docs：https://docs.cursor.com/
3、GitHub Copilot Docs：https://docs.github.com/en/copilot
资源对比说明：
完整播放/点赞/投币/收藏对比见「模块视频Top5」页。</x:v>
      </x:c>
      <x:c r="I44" s="82" t="str">
        <x:v>1、整理所有 demo
2、标出可复用模块
3、选毕业项目方向
4、列出 7 天计划
5、删除不必要目标</x:v>
      </x:c>
      <x:c r="J44" s="82" t="str">
        <x:v>毕业项目范围明确且可完成</x:v>
      </x:c>
      <x:c r="K44" s="82" t="str">
        <x:v>notes/pre_capstone_review.md</x:v>
      </x:c>
      <x:c r="L44" s="82" t="str">
        <x:v>未开始</x:v>
      </x:c>
      <x:c r="M44" s="82" t="str">
        <x:v>最小完成：选一个毕业项目方向。
标准完成：写出范围、风险、7 天计划。
卡住检查：如果需求超过 7 天，马上砍范围。
降级方案：只做“知识库问答 + 评估”也足够。
复盘问题：哪个项目最能证明你掌握了 Agent 工程？</x:v>
      </x:c>
    </x:row>
    <x:row r="45" ht="142.5" customHeight="1">
      <x:c r="A45" s="72" t="str">
        <x:v>9. Agent 工程 / OpenClaw / AI Coding / 毕业项目</x:v>
      </x:c>
      <x:c r="B45" s="96" t="str">
        <x:v>实战篇</x:v>
      </x:c>
      <x:c r="C45" s="96" t="str">
        <x:v>完成毕业项目：知识库 + 工具 + Memory + 评估 + Dify 对照</x:v>
      </x:c>
      <x:c r="D45" s="90" t="str">
        <x:v>第44天</x:v>
      </x:c>
      <x:c r="E45" s="90" t="str">
        <x:v>项目规划</x:v>
      </x:c>
      <x:c r="F45" s="90" t="str">
        <x:v>只选择项目需要的环境：API/MCP/LangGraph/RAG/Dify</x:v>
      </x:c>
      <x:c r="G45" s="90" t="str">
        <x:v>确定最终项目范围</x:v>
      </x:c>
      <x:c r="H45" s="90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45" s="90" t="str">
        <x:v>1、三选一：学习助手/企业知识库/代码助手
2、写用户、数据源、工具、记忆、评估
3、画系统图
4、限制 7 天可完成 MVP
5、列出风险</x:v>
      </x:c>
      <x:c r="J45" s="90" t="str">
        <x:v>范围小而完整</x:v>
      </x:c>
      <x:c r="K45" s="90" t="str">
        <x:v>capstone/plan.md</x:v>
      </x:c>
      <x:c r="L45" s="90" t="str">
        <x:v>未开始</x:v>
      </x:c>
      <x:c r="M45" s="90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6" ht="142.5" customHeight="1">
      <x:c r="A46" s="72" t="str">
        <x:v>9. Agent 工程 / OpenClaw / AI Coding / 毕业项目</x:v>
      </x:c>
      <x:c r="B46" s="96" t="str">
        <x:v>实战篇</x:v>
      </x:c>
      <x:c r="C46" s="96" t="str">
        <x:v>完成毕业项目：知识库 + 工具 + Memory + 评估 + Dify 对照</x:v>
      </x:c>
      <x:c r="D46" s="90" t="str">
        <x:v>第45天</x:v>
      </x:c>
      <x:c r="E46" s="90" t="str">
        <x:v>MVP 主流程</x:v>
      </x:c>
      <x:c r="F46" s="90" t="str">
        <x:v>LangGraph、Tool、API</x:v>
      </x:c>
      <x:c r="G46" s="90" t="str">
        <x:v>搭建项目主链路</x:v>
      </x:c>
      <x:c r="H46" s="90" t="str">
        <x:v>视频资源：
1、LangGraph 新手入门：https://www.bilibili.com/video/BV1iD4y1f7Ga
   选择建议：优先看；可信度：搜索摘要-指标较全；热度分：3638
2、2026 吃透 LangGraph 全套实战教程：https://www.bilibili.com/video/BV1ancBzjEWi
   选择建议：优先看；可信度：搜索摘要-指标较全；热度分：3630
3、3小时完整教程：LangGraph 从入门到实战：https://www.bilibili.com/video/BV1PaWgz1Eu6
   选择建议：备选/换讲法；可信度：搜索摘要-指标较全；热度分：1117
4、LangGraph 多 agent 框架快速入门：https://www.bilibili.com/video/BV1KK4y1q7Pk
   选择建议：备选/换讲法；可信度：搜索摘要-指标较全；热度分：1073
5、LangGraph 官方系列教程 10集全：https://www.bilibili.com/video/BV1cfQHYeEaA
   选择建议：备选/换讲法；可信度：搜索摘要-指标较全；热度分：710
文档 / GitHub / 工具资源：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46" s="90" t="str">
        <x:v>1、创建 capstone 项目结构
2、接入至少 1 个工具或 MCP server
3、接入 prompt/schema
4、跑通 happy path
5、记录日志</x:v>
      </x:c>
      <x:c r="J46" s="90" t="str">
        <x:v>有完整主流程</x:v>
      </x:c>
      <x:c r="K46" s="90" t="str">
        <x:v>capstone/mvp_v1</x:v>
      </x:c>
      <x:c r="L46" s="90" t="str">
        <x:v>未开始</x:v>
      </x:c>
      <x:c r="M46" s="90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7" ht="142.5" customHeight="1">
      <x:c r="A47" s="72" t="str">
        <x:v>9. Agent 工程 / OpenClaw / AI Coding / 毕业项目</x:v>
      </x:c>
      <x:c r="B47" s="96" t="str">
        <x:v>实战篇</x:v>
      </x:c>
      <x:c r="C47" s="96" t="str">
        <x:v>完成毕业项目：知识库 + 工具 + Memory + 评估 + Dify 对照</x:v>
      </x:c>
      <x:c r="D47" s="90" t="str">
        <x:v>第46天</x:v>
      </x:c>
      <x:c r="E47" s="90" t="str">
        <x:v>MVP RAG/Memory</x:v>
      </x:c>
      <x:c r="F47" s="90" t="str">
        <x:v>RAG 或 Memory 栈</x:v>
      </x:c>
      <x:c r="G47" s="90" t="str">
        <x:v>加入核心智能能力</x:v>
      </x:c>
      <x:c r="H47" s="90" t="str">
        <x:v>视频资源：
1、Mem0 AI Memory for Agents Tutorial：https://www.youtube.com/results?search_query=Mem0+AI+memory+agents+tutorial
   选择建议：优先看；可信度：待人工核验；热度分：待核验
2、Letta / MemGPT Agent Memory Tutorial：https://www.youtube.com/results?search_query=Letta+MemGPT+agent+memory+tutorial
   选择建议：优先看；可信度：待人工核验；热度分：待核验
3、LangGraph Memory Tutorial：https://www.youtube.com/results?search_query=LangGraph+memory+tutorial
   选择建议：备选/换讲法；可信度：待人工核验；热度分：待核验
4、LangChain Conversational Memory Tutorial：https://www.youtube.com/results?search_query=LangChain+conversational+memory+tutorial
   选择建议：备选/换讲法；可信度：待人工核验；热度分：待核验
5、大模型 Agent 记忆机制 / 长期记忆 教程：https://www.bilibili.com/search?keyword=AI%20Agent%20%E8%AE%B0%E5%BF%86%20%E9%95%BF%E6%9C%9F%E8%AE%B0%E5%BF%86%20%E6%95%99%E7%A8%8B
   选择建议：备选/换讲法；可信度：待人工核验；热度分：待核验
文档 / GitHub / 工具资源：
1、LangGraph Memory：https://langchain-ai.github.io/langgraph/concepts/memory/
2、mem0 GitHub：https://github.com/mem0ai/mem0
3、Letta Docs：https://docs.letta.com/
1、LangGraph Docs：https://langchain-ai.github.io/langgraph/
2、LangGraph GitHub：https://github.com/langchain-ai/langgraph
3、LangChain Docs：https://python.langchain.com/docs/
资源对比说明：
完整播放/点赞/投币/收藏对比见「模块视频Top5」页。</x:v>
      </x:c>
      <x:c r="I47" s="90" t="str">
        <x:v>1、接入文档检索或长期记忆
2、加入日志和错误处理
3、写 10 个测试问题
4、根据结果调 chunk/prompt/schema
5、记录改动</x:v>
      </x:c>
      <x:c r="J47" s="90" t="str">
        <x:v>能处理真实问题</x:v>
      </x:c>
      <x:c r="K47" s="90" t="str">
        <x:v>capstone/mvp_v2</x:v>
      </x:c>
      <x:c r="L47" s="90" t="str">
        <x:v>未开始</x:v>
      </x:c>
      <x:c r="M47" s="90" t="str">
        <x:v>最小完成：跑通一条 happy path。
标准完成：有 README、.env.example、eval、演示问题、最终复盘。
卡住检查：范围是否太大；先砍功能，保留主链路。
降级方案：只能完成代码版或 Dify 版其中一个也可以，但要写清取舍。
求助时带：项目结构、运行命令、报错、你期望的输入输出。</x:v>
      </x:c>
    </x:row>
    <x:row r="48" ht="142.5" customHeight="1">
      <x:c r="A48" s="72" t="str">
        <x:v>9. Agent 工程 / OpenClaw / AI Coding / 毕业项目</x:v>
      </x:c>
      <x:c r="B48" s="96" t="str">
        <x:v>实战篇</x:v>
      </x:c>
      <x:c r="C48" s="96" t="str">
        <x:v>完成毕业项目：知识库 + 工具 + Memory + 评估 + Dify 对照</x:v>
      </x:c>
      <x:c r="D48" s="90" t="str">
        <x:v>第47天</x:v>
      </x:c>
      <x:c r="E48" s="90" t="str">
        <x:v>Dify 对照实现</x:v>
      </x:c>
      <x:c r="F48" s="90" t="str">
        <x:v>Dify 可选；用到才启动</x:v>
      </x:c>
      <x:c r="G48" s="90" t="str">
        <x:v>用 Dify 快速复现一版，理解工程与平台差异</x:v>
      </x:c>
      <x:c r="H48" s="90" t="str">
        <x:v>视频资源：
1、Dify 搭建简单的知识库问答工作流：https://www.bilibili.com/video/BV1M29PYiEHx
   选择建议：优先看；可信度：搜索摘要-指标较全；热度分：14381
2、Windows 系统下轻松部署 Dify 教程：https://www.bilibili.com/video/BV1BKP2eFEbm
   选择建议：优先看；可信度：搜索摘要-指标较全；热度分：2575
3、Dify 工作流架构全解析：https://www.bilibili.com/video/BV1nc9xY2Ev8
   选择建议：备选/换讲法；可信度：搜索摘要-指标较全；热度分：2246
4、使用 Dify 工作流 10 分钟打造 AI 客服系统：https://www.bilibili.com/video/BV1CSKHe6EZa
   选择建议：备选/换讲法；可信度：搜索摘要-指标较全；热度分：846
5、Dify搭建RAG知识库，检索召回成功率达到90%：https://www.bilibili.com/video/BV1xmhezTEDb
   选择建议：备选/换讲法；可信度：搜索摘要-指标较全；热度分：736
文档 / GitHub / 工具资源：
1、Dify Docs：https://docs.dify.ai/
2、Dify GitHub：https://github.com/langgenius/dify
3、Dify Docker Compose：https://docs.dify.ai/getting-started/install-self-hosted/docker-compose
资源对比说明：
完整播放/点赞/投币/收藏对比见「模块视频Top5」页。</x:v>
      </x:c>
      <x:c r="I48" s="90" t="str">
        <x:v>1、在 Dify 中复现核心流程
2、接同一知识库或 API
3、对比代码版和 Dify 版优缺点
4、记录适合产品化的部分
5、决定是否保留 Dify 入口</x:v>
      </x:c>
      <x:c r="J48" s="90" t="str">
        <x:v>知道什么时候用平台，什么时候写代码</x:v>
      </x:c>
      <x:c r="K48" s="90" t="str">
        <x:v>capstone/dify_compare.md</x:v>
      </x:c>
      <x:c r="L48" s="90" t="str">
        <x:v>未开始</x:v>
      </x:c>
      <x:c r="M48" s="90" t="str">
        <x:v>最小完成：Dify 能启动并创建 Knowledge。
标准完成：上传同一批文档，对比代码版 RAG。
卡住检查：Docker 内存、端口占用、compose 日志、模型配置。
降级方案：如果本地启动困难，先看文档/云端截图并写配置流程，后面再补。
复盘问题：Dify 帮你省掉了哪些工程细节，又限制了什么？
毕业项目特别注意：Dify 只是对照实现，不要让它吞掉主线。</x:v>
      </x:c>
    </x:row>
    <x:row r="49" ht="142.5" customHeight="1">
      <x:c r="A49" s="72" t="str">
        <x:v>9. Agent 工程 / OpenClaw / AI Coding / 毕业项目</x:v>
      </x:c>
      <x:c r="B49" s="96" t="str">
        <x:v>实战篇</x:v>
      </x:c>
      <x:c r="C49" s="96" t="str">
        <x:v>完成毕业项目：知识库 + 工具 + Memory + 评估 + Dify 对照</x:v>
      </x:c>
      <x:c r="D49" s="90" t="str">
        <x:v>第48天</x:v>
      </x:c>
      <x:c r="E49" s="90" t="str">
        <x:v>评估与安全</x:v>
      </x:c>
      <x:c r="F49" s="90" t="str">
        <x:v>evals、工具日志</x:v>
      </x:c>
      <x:c r="G49" s="90" t="str">
        <x:v>给项目加可验证质量标准</x:v>
      </x:c>
      <x:c r="H49" s="90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49" s="90" t="str">
        <x:v>1、写 20 个验收问题
2、记录检索命中、答案正确、工具调用情况
3、加入危险操作保护
4、修复最明显问题
5、输出评估结论</x:v>
      </x:c>
      <x:c r="J49" s="90" t="str">
        <x:v>项目有评测，不靠感觉</x:v>
      </x:c>
      <x:c r="K49" s="90" t="str">
        <x:v>capstone/eval.xlsx</x:v>
      </x:c>
      <x:c r="L49" s="90" t="str">
        <x:v>未开始</x:v>
      </x:c>
      <x:c r="M49" s="90" t="str">
        <x:v>最小完成：准备 5 条测试输入并人工打分。
标准完成：10-20 条测试输入，记录正确率、格式错误、遗漏。
卡住检查：测试题是否覆盖边界情况，评分标准是否明确。
降级方案：先用 markdown 表格，不必一开始做自动化。
复盘问题：这次修改是让结果更稳，还是只让一个例子变好？
毕业项目特别注意：先测 happy path，再测失败和边界问题。</x:v>
      </x:c>
    </x:row>
    <x:row r="50" ht="142.5" customHeight="1">
      <x:c r="A50" s="72" t="str">
        <x:v>9. Agent 工程 / OpenClaw / AI Coding / 毕业项目</x:v>
      </x:c>
      <x:c r="B50" s="96" t="str">
        <x:v>实战篇</x:v>
      </x:c>
      <x:c r="C50" s="96" t="str">
        <x:v>完成毕业项目：知识库 + 工具 + Memory + 评估 + Dify 对照</x:v>
      </x:c>
      <x:c r="D50" s="90" t="str">
        <x:v>第49天</x:v>
      </x:c>
      <x:c r="E50" s="90" t="str">
        <x:v>README 与演示</x:v>
      </x:c>
      <x:c r="F50" s="90" t="str">
        <x:v>Git、README、截图/录屏</x:v>
      </x:c>
      <x:c r="G50" s="90" t="str">
        <x:v>让别人能理解并运行项目</x:v>
      </x:c>
      <x:c r="H50" s="90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50" s="90" t="str">
        <x:v>1、补 README：背景、安装、运行、示例
2、补 .env.example
3、准备 3 个演示问题
4、截图或录屏
5、检查敏感信息</x:v>
      </x:c>
      <x:c r="J50" s="90" t="str">
        <x:v>别人按 README 能跑起来</x:v>
      </x:c>
      <x:c r="K50" s="90" t="str">
        <x:v>capstone/README.md</x:v>
      </x:c>
      <x:c r="L50" s="90" t="str">
        <x:v>未开始</x:v>
      </x:c>
      <x:c r="M50" s="90" t="str">
        <x:v>最小完成：写出用户、场景、输入、输出。
标准完成：把 demo 做成 CLI/Dify/UI 中的一种可用入口。
卡住检查：功能是否太多、用户路径是否太长、错误提示是否可理解。
降级方案：先只做 CLI，产品化界面以后再补。
复盘问题：别人不用你解释，能不能独立跑起来？</x:v>
      </x:c>
    </x:row>
    <x:row r="51" ht="142.5" customHeight="1">
      <x:c r="A51" s="72" t="str">
        <x:v>9. Agent 工程 / OpenClaw / AI Coding / 毕业项目</x:v>
      </x:c>
      <x:c r="B51" s="96" t="str">
        <x:v>实战篇</x:v>
      </x:c>
      <x:c r="C51" s="96" t="str">
        <x:v>完成毕业项目：知识库 + 工具 + Memory + 评估 + Dify 对照</x:v>
      </x:c>
      <x:c r="D51" s="90" t="str">
        <x:v>第50天</x:v>
      </x:c>
      <x:c r="E51" s="90" t="str">
        <x:v>最终复盘</x:v>
      </x:c>
      <x:c r="F51" s="90" t="str">
        <x:v>全套材料</x:v>
      </x:c>
      <x:c r="G51" s="90" t="str">
        <x:v>形成下一阶段路线</x:v>
      </x:c>
      <x:c r="H51" s="90" t="str">
        <x:v>视频资源：
1、AI Agent 从 0 到 1 项目实战：https://www.bilibili.com/video/BV1rpTdz8Ece
   选择建议：优先看；可信度：搜索摘要-指标较全；热度分：3716
2、LangChain Agent 从入门到实战：https://www.youtube.com/results?search_query=LangChain+Agents+tutorial
   选择建议：优先看；可信度：待人工核验；热度分：待核验
3、AI Agent 系统设计：Planning、Tools、Memory、Reflection：https://www.youtube.com/results?search_query=AI+Agent+system+design+planning+tools+memory
   选择建议：备选/换讲法；可信度：待人工核验；热度分：待核验
4、CrewAI Multi-Agent Tutorial：https://www.youtube.com/results?search_query=CrewAI+multi+agent+tutorial
   选择建议：备选/换讲法；可信度：待人工核验；热度分：待核验
5、AutoGen Multi-Agent Conversation Tutorial：https://www.youtube.com/results?search_query=AutoGen+multi+agent+tutorial
   选择建议：备选/换讲法；可信度：待人工核验；热度分：待核验
文档 / GitHub / 工具资源：
1、Microsoft AI Agents for Beginners：https://github.com/microsoft/ai-agents-for-beginners
2、LangGraph Multi-agent：https://langchain-ai.github.io/langgraph/concepts/multi_agent/
3、CrewAI GitHub：https://github.com/crewAIInc/crewAI
资源对比说明：
完整播放/点赞/投币/收藏对比见「模块视频Top5」页。</x:v>
      </x:c>
      <x:c r="I51" s="90" t="str">
        <x:v>1、写最终复盘：做了什么、难点、解决方式
2、列下一阶段深入方向
3、整理所有输出物
4、决定继续深挖 RAG/MCP/LangGraph/OpenClaw 哪条线
5、归档学习日志</x:v>
      </x:c>
      <x:c r="J51" s="90" t="str">
        <x:v>能清楚讲出 agent 工程能力闭环</x:v>
      </x:c>
      <x:c r="K51" s="90" t="str">
        <x:v>capstone/final_review.md</x:v>
      </x:c>
      <x:c r="L51" s="90" t="str">
        <x:v>未开始</x:v>
      </x:c>
      <x:c r="M51" s="90" t="str">
        <x:v>最小完成：写 1 页最终复盘。
标准完成：README、演示、eval、final_review 全部齐。
卡住检查：不要继续加功能，今天只收尾和解释。
降级方案：没完成的功能写入下一阶段计划。
复盘问题：你现在能不能向别人讲清楚这套 Agent 怎么工作？</x:v>
      </x:c>
    </x:row>
    <x:row r="52" ht="142.5" customHeight="1">
      <x:c r="A52" s="72" t="str">
        <x:v>10. 微调认知 / 数据集 / 训练 / 评估</x:v>
      </x:c>
      <x:c r="B52" s="80" t="str">
        <x:v>理论基础篇</x:v>
      </x:c>
      <x:c r="C52" s="80" t="str">
        <x:v>理解微调、SFT、LoRA、QLoRA 的真实用途和工程取舍</x:v>
      </x:c>
      <x:c r="D52" s="74" t="str">
        <x:v>第51天</x:v>
      </x:c>
      <x:c r="E52" s="74" t="str">
        <x:v>微调到底解决什么问题</x:v>
      </x:c>
      <x:c r="F52" s="74" t="str">
        <x:v>无需训练环境；只需要笔记和前50天项目</x:v>
      </x:c>
      <x:c r="G52" s="74" t="str">
        <x:v>理解微调不是万能增强，而是让模型学格式、风格、领域模式或任务偏好</x:v>
      </x:c>
      <x:c r="H52" s="74" t="str">
        <x:v>视频资源：
1、YouTube 搜索：LLM fine tuning explained：https://www.youtube.com/results?search_query=LLM+fine+tuning+explained
2、B站搜索：大模型微调 LoRA SFT 教程：https://search.bilibili.com/all?keyword=%E5%A4%A7%E6%A8%A1%E5%9E%8B%20%E5%BE%AE%E8%B0%83%20LoRA%20SFT%20%E6%95%99%E7%A8%8B
3、YouTube 搜索：LoRA QLoRA fine tuning tutorial：https://www.youtube.com/results?search_query=LoRA+QLoRA+fine+tuning+tutorial
文档 / GitHub / 工具资源：
1、Hugging Face PEFT：https://github.com/huggingface/peft
2、TRL Docs：https://huggingface.co/docs/trl/index
3、Transformers Docs：https://huggingface.co/docs/transformers/index
4、Unsloth Docs：https://docs.unsloth.ai/
资源对比说明：
微调资源更新快，视频先按主题入口筛选；真正动手以官方文档/GitHub 为准。</x:v>
      </x:c>
      <x:c r="I52" s="74" t="str">
        <x:v>1、列出 Prompt/RAG/Tool/Memory/微调分别解决的问题
2、写 5 个适合微调的场景
3、写 5 个不适合微调的场景
4、回看你的毕业项目，判断是否真的需要微调
5、记录成本和风险</x:v>
      </x:c>
      <x:c r="J52" s="74" t="str">
        <x:v>能解释为什么多数个人项目先不微调</x:v>
      </x:c>
      <x:c r="K52" s="74" t="str">
        <x:v>notes/finetune_decision_basics.md</x:v>
      </x:c>
      <x:c r="L52" s="74" t="str">
        <x:v>未开始</x:v>
      </x:c>
      <x:c r="M52" s="74" t="str">
        <x:v>最小完成：写出微调适合/不适合场景各 3 个。
标准完成：能把你的项目放进决策表。
卡住检查：你是不是把“知识更新”误认为微调？知识更新通常优先 RAG。
降级方案：只做概念笔记，不碰训练环境。</x:v>
      </x:c>
    </x:row>
    <x:row r="53" ht="142.5" customHeight="1">
      <x:c r="A53" s="72" t="str">
        <x:v>10. 微调认知 / 数据集 / 训练 / 评估</x:v>
      </x:c>
      <x:c r="B53" s="80" t="str">
        <x:v>理论基础篇</x:v>
      </x:c>
      <x:c r="C53" s="80" t="str">
        <x:v>理解微调、SFT、LoRA、QLoRA 的真实用途和工程取舍</x:v>
      </x:c>
      <x:c r="D53" s="74" t="str">
        <x:v>第52天</x:v>
      </x:c>
      <x:c r="E53" s="74" t="str">
        <x:v>SFT / LoRA / QLoRA 概念</x:v>
      </x:c>
      <x:c r="F53" s="74" t="str">
        <x:v>无需训练环境；可选看 Colab 示例</x:v>
      </x:c>
      <x:c r="G53" s="74" t="str">
        <x:v>理解 SFT、LoRA、QLoRA、adapter、base model、checkpoint 的关系</x:v>
      </x:c>
      <x:c r="H53" s="74" t="str">
        <x:v>视频资源：
1、YouTube 搜索：LLM fine tuning explained：https://www.youtube.com/results?search_query=LLM+fine+tuning+explained
2、B站搜索：大模型微调 LoRA SFT 教程：https://search.bilibili.com/all?keyword=%E5%A4%A7%E6%A8%A1%E5%9E%8B%20%E5%BE%AE%E8%B0%83%20LoRA%20SFT%20%E6%95%99%E7%A8%8B
3、YouTube 搜索：LoRA QLoRA fine tuning tutorial：https://www.youtube.com/results?search_query=LoRA+QLoRA+fine+tuning+tutorial
文档 / GitHub / 工具资源：
1、Hugging Face PEFT：https://github.com/huggingface/peft
2、TRL Docs：https://huggingface.co/docs/trl/index
3、Transformers Docs：https://huggingface.co/docs/transformers/index
4、Unsloth Docs：https://docs.unsloth.ai/
资源对比说明：
微调资源更新快，视频先按主题入口筛选；真正动手以官方文档/GitHub 为准。</x:v>
      </x:c>
      <x:c r="I53" s="74" t="str">
        <x:v>1、画出 base model + adapter 的关系图
2、比较 full fine-tuning、LoRA、QLoRA
3、写清显存/成本/效果权衡
4、记录你能承受的训练预算
5、确定只做小模型实验</x:v>
      </x:c>
      <x:c r="J53" s="74" t="str">
        <x:v>能用自己的话解释 LoRA 为什么省资源</x:v>
      </x:c>
      <x:c r="K53" s="74" t="str">
        <x:v>notes/lora_qlora_concepts.md</x:v>
      </x:c>
      <x:c r="L53" s="74" t="str">
        <x:v>未开始</x:v>
      </x:c>
      <x:c r="M53" s="74" t="str">
        <x:v>最小完成：解释 SFT、LoRA、QLoRA 三个词。
标准完成：画一张微调方法对比表。
卡住检查：不要陷入数学推导，先理解工程取舍。
降级方案：只读 PEFT LoRA 文档摘要。</x:v>
      </x:c>
    </x:row>
    <x:row r="54" ht="142.5" customHeight="1">
      <x:c r="A54" s="72" t="str">
        <x:v>10. 微调认知 / 数据集 / 训练 / 评估</x:v>
      </x:c>
      <x:c r="B54" s="88" t="str">
        <x:v>进阶篇</x:v>
      </x:c>
      <x:c r="C54" s="88" t="str">
        <x:v>构造指令数据、清洗数据、建立评估集、选择小模型和环境</x:v>
      </x:c>
      <x:c r="D54" s="82" t="str">
        <x:v>第53天</x:v>
      </x:c>
      <x:c r="E54" s="82" t="str">
        <x:v>指令数据格式</x:v>
      </x:c>
      <x:c r="F54" s="82" t="str">
        <x:v>Python、JSONL；不需要 GPU</x:v>
      </x:c>
      <x:c r="G54" s="82" t="str">
        <x:v>掌握 instruction/input/output、messages、偏好样本等常见数据格式</x:v>
      </x:c>
      <x:c r="H54" s="82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I54" s="82" t="str">
        <x:v>1、创建 data/finetune_samples.jsonl
2、写 20 条 instruction-output 样本
3、转换成 chat messages 格式
4、检查 JSONL 每行可解析
5、写数据字段说明</x:v>
      </x:c>
      <x:c r="J54" s="82" t="str">
        <x:v>能构造最小指令微调数据集</x:v>
      </x:c>
      <x:c r="K54" s="82" t="str">
        <x:v>data/finetune_samples.jsonl</x:v>
      </x:c>
      <x:c r="L54" s="82" t="str">
        <x:v>未开始</x:v>
      </x:c>
      <x:c r="M54" s="82" t="str">
        <x:v>最小完成：写 10 条可解析 JSONL。
标准完成：20-50 条，并有字段说明。
卡住检查：输出是否高质量、是否泄露隐私、格式是否一致。
降级方案：先用手写样本，不用自动生成。</x:v>
      </x:c>
    </x:row>
    <x:row r="55" ht="142.5" customHeight="1">
      <x:c r="A55" s="72" t="str">
        <x:v>10. 微调认知 / 数据集 / 训练 / 评估</x:v>
      </x:c>
      <x:c r="B55" s="88" t="str">
        <x:v>进阶篇</x:v>
      </x:c>
      <x:c r="C55" s="88" t="str">
        <x:v>构造指令数据、清洗数据、建立评估集、选择小模型和环境</x:v>
      </x:c>
      <x:c r="D55" s="82" t="str">
        <x:v>第54天</x:v>
      </x:c>
      <x:c r="E55" s="82" t="str">
        <x:v>数据质量与清洗</x:v>
      </x:c>
      <x:c r="F55" s="82" t="str">
        <x:v>Python、json、正则/脚本；不需要 GPU</x:v>
      </x:c>
      <x:c r="G55" s="82" t="str">
        <x:v>理解重复、脏数据、错误答案、格式漂移对微调的影响</x:v>
      </x:c>
      <x:c r="H55" s="82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I55" s="82" t="str">
        <x:v>1、写脚本检查空字段/重复样本
2、检查输出长度分布
3、找出 5 条低质量样本
4、修正或删除
5、记录清洗规则</x:v>
      </x:c>
      <x:c r="J55" s="82" t="str">
        <x:v>能写一个最小数据质量检查脚本</x:v>
      </x:c>
      <x:c r="K55" s="82" t="str">
        <x:v>demos/10_dataset_quality_check.py</x:v>
      </x:c>
      <x:c r="L55" s="82" t="str">
        <x:v>未开始</x:v>
      </x:c>
      <x:c r="M55" s="82" t="str">
        <x:v>最小完成：检查 JSON 是否可解析和字段是否完整。
标准完成：输出质量报告。
卡住检查：不要追求大数据，先保证小数据干净。
降级方案：人工用表格检查 20 条样本。</x:v>
      </x:c>
    </x:row>
    <x:row r="56" ht="142.5" customHeight="1">
      <x:c r="A56" s="72" t="str">
        <x:v>10. 微调认知 / 数据集 / 训练 / 评估</x:v>
      </x:c>
      <x:c r="B56" s="88" t="str">
        <x:v>进阶篇</x:v>
      </x:c>
      <x:c r="C56" s="88" t="str">
        <x:v>构造指令数据、清洗数据、建立评估集、选择小模型和环境</x:v>
      </x:c>
      <x:c r="D56" s="82" t="str">
        <x:v>第55天</x:v>
      </x:c>
      <x:c r="E56" s="82" t="str">
        <x:v>评估集先于训练</x:v>
      </x:c>
      <x:c r="F56" s="82" t="str">
        <x:v>Python、evals/；不需要 GPU</x:v>
      </x:c>
      <x:c r="G56" s="82" t="str">
        <x:v>先定义怎么判断微调是否变好，避免训练完只凭感觉</x:v>
      </x:c>
      <x:c r="H56" s="82" t="str">
        <x:v>视频资源：
1、YouTube 搜索：instruction tuning dataset tutorial：https://www.youtube.com/results?search_query=instruction+tuning+dataset+tutorial
2、B站搜索：指令微调 数据集 构造 教程：https://search.bilibili.com/all?keyword=%E6%8C%87%E4%BB%A4%E5%BE%AE%E8%B0%83%20%E6%95%B0%E6%8D%AE%E9%9B%86%20%E6%9E%84%E9%80%A0%20%E6%95%99%E7%A8%8B
3、YouTube 搜索：LLM dataset cleaning evaluation：https://www.youtube.com/results?search_query=LLM+dataset+cleaning+evaluation
文档 / GitHub / 工具资源：
1、Hugging Face Datasets：https://huggingface.co/docs/datasets/index
2、OpenAI Evals：https://github.com/openai/evals
3、Ragas：https://docs.ragas.io/
4、Argilla：https://docs.argilla.io/
资源对比说明：
微调成败更依赖数据质量，不是训练命令本身。</x:v>
      </x:c>
      <x:c r="I56" s="82" t="str">
        <x:v>1、从样本中分出 train/eval
2、写 20 条固定评估题
3、定义评分标准
4、用当前模型跑 baseline
5、保存 baseline 结果</x:v>
      </x:c>
      <x:c r="J56" s="82" t="str">
        <x:v>有训练前 baseline，知道要优化什么</x:v>
      </x:c>
      <x:c r="K56" s="82" t="str">
        <x:v>evals/finetune_baseline.jsonl</x:v>
      </x:c>
      <x:c r="L56" s="82" t="str">
        <x:v>未开始</x:v>
      </x:c>
      <x:c r="M56" s="82" t="str">
        <x:v>最小完成：写 10 条评估题。
标准完成：baseline 有输入、输出、人工评分。
卡住检查：评估题是否覆盖你真正关心的失败模式。
降级方案：先人工打分，不做自动化。</x:v>
      </x:c>
    </x:row>
    <x:row r="57" ht="142.5" customHeight="1">
      <x:c r="A57" s="72" t="str">
        <x:v>10. 微调认知 / 数据集 / 训练 / 评估</x:v>
      </x:c>
      <x:c r="B57" s="88" t="str">
        <x:v>进阶篇</x:v>
      </x:c>
      <x:c r="C57" s="88" t="str">
        <x:v>构造指令数据、清洗数据、建立评估集、选择小模型和环境</x:v>
      </x:c>
      <x:c r="D57" s="82" t="str">
        <x:v>第56天</x:v>
      </x:c>
      <x:c r="E57" s="82" t="str">
        <x:v>选择小模型与运行环境</x:v>
      </x:c>
      <x:c r="F57" s="82" t="str">
        <x:v>Colab/Kaggle/云 GPU 可选；本地无 GPU 可不训练</x:v>
      </x:c>
      <x:c r="G57" s="82" t="str">
        <x:v>理解模型大小、量化、显存、训练时长和费用</x:v>
      </x:c>
      <x:c r="H57" s="82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57" s="82" t="str">
        <x:v>1、比较 3 个可微调小模型
2、确认许可协议
3、估算显存和费用
4、选择 Colab/Kaggle/云 GPU
5、写环境选择记录</x:v>
      </x:c>
      <x:c r="J57" s="82" t="str">
        <x:v>知道该选哪个小模型做实验</x:v>
      </x:c>
      <x:c r="K57" s="82" t="str">
        <x:v>notes/finetune_env_choice.md</x:v>
      </x:c>
      <x:c r="L57" s="82" t="str">
        <x:v>未开始</x:v>
      </x:c>
      <x:c r="M57" s="82" t="str">
        <x:v>最小完成：选定一个小模型和环境。
标准完成：写清显存、费用、许可、风险。
卡住检查：不要选择过大的模型。
降级方案：只做 dry-run，不真实训练。</x:v>
      </x:c>
    </x:row>
    <x:row r="58" ht="142.5" customHeight="1">
      <x:c r="A58" s="72" t="str">
        <x:v>10. 微调认知 / 数据集 / 训练 / 评估</x:v>
      </x:c>
      <x:c r="B58" s="88" t="str">
        <x:v>进阶篇</x:v>
      </x:c>
      <x:c r="C58" s="88" t="str">
        <x:v>构造指令数据、清洗数据、建立评估集、选择小模型和环境</x:v>
      </x:c>
      <x:c r="D58" s="82" t="str">
        <x:v>第57天</x:v>
      </x:c>
      <x:c r="E58" s="82" t="str">
        <x:v>搭建 Unsloth / PEFT 环境</x:v>
      </x:c>
      <x:c r="F58" s="82" t="str">
        <x:v>Colab/Kaggle 或 Linux GPU；Windows 本地不推荐硬装</x:v>
      </x:c>
      <x:c r="G58" s="82" t="str">
        <x:v>跑通训练环境 smoke test，不追求立刻训练好模型</x:v>
      </x:c>
      <x:c r="H58" s="82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58" s="82" t="str">
        <x:v>1、打开 Colab/Kaggle notebook
2、安装依赖
3、加载小模型和 tokenizer
4、跑一条推理
5、记录安装坑点</x:v>
      </x:c>
      <x:c r="J58" s="82" t="str">
        <x:v>环境能加载模型并推理一次</x:v>
      </x:c>
      <x:c r="K58" s="82" t="str">
        <x:v>notes/finetune_env_smoke_test.md</x:v>
      </x:c>
      <x:c r="L58" s="82" t="str">
        <x:v>未开始</x:v>
      </x:c>
      <x:c r="M58" s="82" t="str">
        <x:v>最小完成：能加载 tokenizer 或模型配置。
标准完成：跑通一次推理。
卡住检查：CUDA、依赖版本、显存、模型权限。
降级方案：用官方 notebook 截图和日志记录。</x:v>
      </x:c>
    </x:row>
    <x:row r="59" ht="142.5" customHeight="1">
      <x:c r="A59" s="72" t="str">
        <x:v>10. 微调认知 / 数据集 / 训练 / 评估</x:v>
      </x:c>
      <x:c r="B59" s="96" t="str">
        <x:v>实战篇</x:v>
      </x:c>
      <x:c r="C59" s="96" t="str">
        <x:v>跑 LoRA dry-run、加载 adapter、评估前后效果，并做技术取舍</x:v>
      </x:c>
      <x:c r="D59" s="90" t="str">
        <x:v>第58天</x:v>
      </x:c>
      <x:c r="E59" s="90" t="str">
        <x:v>LoRA 小样本训练 dry-run</x:v>
      </x:c>
      <x:c r="F59" s="90" t="str">
        <x:v>云 GPU/Colab；小数据集；限制训练步数</x:v>
      </x:c>
      <x:c r="G59" s="90" t="str">
        <x:v>用极小步数理解训练流程，不追求效果</x:v>
      </x:c>
      <x:c r="H59" s="90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59" s="90" t="str">
        <x:v>1、加载 20-50 条样本
2、配置 LoRA rank、learning rate、steps
3、跑 5-20 steps dry-run
4、保存 adapter
5、记录 loss 和日志</x:v>
      </x:c>
      <x:c r="J59" s="90" t="str">
        <x:v>知道训练循环如何跑起来</x:v>
      </x:c>
      <x:c r="K59" s="90" t="str">
        <x:v>notebooks/lora_dry_run.ipynb</x:v>
      </x:c>
      <x:c r="L59" s="90" t="str">
        <x:v>未开始</x:v>
      </x:c>
      <x:c r="M59" s="90" t="str">
        <x:v>最小完成：读懂训练脚本各参数。
标准完成：跑通 5-20 steps 并保存 adapter。
卡住检查：显存不足就降 batch、序列长度、模型大小。
降级方案：不训练，只注释官方脚本。</x:v>
      </x:c>
    </x:row>
    <x:row r="60" ht="142.5" customHeight="1">
      <x:c r="A60" s="72" t="str">
        <x:v>10. 微调认知 / 数据集 / 训练 / 评估</x:v>
      </x:c>
      <x:c r="B60" s="96" t="str">
        <x:v>实战篇</x:v>
      </x:c>
      <x:c r="C60" s="96" t="str">
        <x:v>跑 LoRA dry-run、加载 adapter、评估前后效果，并做技术取舍</x:v>
      </x:c>
      <x:c r="D60" s="90" t="str">
        <x:v>第59天</x:v>
      </x:c>
      <x:c r="E60" s="90" t="str">
        <x:v>训练日志与常见失败</x:v>
      </x:c>
      <x:c r="F60" s="90" t="str">
        <x:v>训练日志、loss、样本查看</x:v>
      </x:c>
      <x:c r="G60" s="90" t="str">
        <x:v>理解 loss 下降不等于模型真的变好，学会看失败样本</x:v>
      </x:c>
      <x:c r="H60" s="90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60" s="90" t="str">
        <x:v>1、整理训练日志
2、检查 loss 曲线
3、抽样对比训练前后输出
4、记录 5 个失败案例
5、判断是否过拟合</x:v>
      </x:c>
      <x:c r="J60" s="90" t="str">
        <x:v>能从日志和样本判断训练是否异常</x:v>
      </x:c>
      <x:c r="K60" s="90" t="str">
        <x:v>notes/finetune_training_log_review.md</x:v>
      </x:c>
      <x:c r="L60" s="90" t="str">
        <x:v>未开始</x:v>
      </x:c>
      <x:c r="M60" s="90" t="str">
        <x:v>最小完成：记录训练配置和 loss。
标准完成：训练前后各 5 条输出对比。
卡住检查：样本太少时很容易背答案。
降级方案：只分析公开 notebook 日志。</x:v>
      </x:c>
    </x:row>
    <x:row r="61" ht="142.5" customHeight="1">
      <x:c r="A61" s="72" t="str">
        <x:v>10. 微调认知 / 数据集 / 训练 / 评估</x:v>
      </x:c>
      <x:c r="B61" s="96" t="str">
        <x:v>实战篇</x:v>
      </x:c>
      <x:c r="C61" s="96" t="str">
        <x:v>跑 LoRA dry-run、加载 adapter、评估前后效果，并做技术取舍</x:v>
      </x:c>
      <x:c r="D61" s="90" t="str">
        <x:v>第60天</x:v>
      </x:c>
      <x:c r="E61" s="90" t="str">
        <x:v>Adapter 保存、加载与推理</x:v>
      </x:c>
      <x:c r="F61" s="90" t="str">
        <x:v>LoRA adapter、base model、推理脚本</x:v>
      </x:c>
      <x:c r="G61" s="90" t="str">
        <x:v>掌握 adapter 不是完整模型，推理要和 base model 搭配</x:v>
      </x:c>
      <x:c r="H61" s="90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61" s="90" t="str">
        <x:v>1、保存 adapter
2、重新加载 base model + adapter
3、跑固定评估题
4、导出推理结果
5、记录模型版本</x:v>
      </x:c>
      <x:c r="J61" s="90" t="str">
        <x:v>能加载微调 adapter 并完成推理</x:v>
      </x:c>
      <x:c r="K61" s="90" t="str">
        <x:v>demos/11_lora_inference.py</x:v>
      </x:c>
      <x:c r="L61" s="90" t="str">
        <x:v>未开始</x:v>
      </x:c>
      <x:c r="M61" s="90" t="str">
        <x:v>最小完成：理解 adapter 保存/加载流程。
标准完成：用 adapter 跑 10 条评估题。
卡住检查：base model 必须一致，路径和 dtype 要匹配。
降级方案：用伪代码写完整流程。</x:v>
      </x:c>
    </x:row>
    <x:row r="62" ht="142.5" customHeight="1">
      <x:c r="A62" s="72" t="str">
        <x:v>10. 微调认知 / 数据集 / 训练 / 评估</x:v>
      </x:c>
      <x:c r="B62" s="96" t="str">
        <x:v>实战篇</x:v>
      </x:c>
      <x:c r="C62" s="96" t="str">
        <x:v>跑 LoRA dry-run、加载 adapter、评估前后效果，并做技术取舍</x:v>
      </x:c>
      <x:c r="D62" s="90" t="str">
        <x:v>第61天</x:v>
      </x:c>
      <x:c r="E62" s="90" t="str">
        <x:v>微调前后对比评估</x:v>
      </x:c>
      <x:c r="F62" s="90" t="str">
        <x:v>evals/、baseline、finetuned outputs</x:v>
      </x:c>
      <x:c r="G62" s="90" t="str">
        <x:v>用同一评估集比较 base 与 finetuned，不靠主观感觉</x:v>
      </x:c>
      <x:c r="H62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2" s="90" t="str">
        <x:v>1、整理 baseline 输出
2、整理微调后输出
3、按同一 rubric 打分
4、统计提升/退化样本
5、写结论</x:v>
      </x:c>
      <x:c r="J62" s="90" t="str">
        <x:v>能判断微调是否真的有收益</x:v>
      </x:c>
      <x:c r="K62" s="90" t="str">
        <x:v>evals/finetune_compare.xlsx</x:v>
      </x:c>
      <x:c r="L62" s="90" t="str">
        <x:v>未开始</x:v>
      </x:c>
      <x:c r="M62" s="90" t="str">
        <x:v>最小完成：人工对比 5 条。
标准完成：20 条评估题完整评分。
卡住检查：是否只优化了格式却损害事实性。
降级方案：用 markdown 表格评分。</x:v>
      </x:c>
    </x:row>
    <x:row r="63" ht="142.5" customHeight="1">
      <x:c r="A63" s="72" t="str">
        <x:v>10. 微调认知 / 数据集 / 训练 / 评估</x:v>
      </x:c>
      <x:c r="B63" s="96" t="str">
        <x:v>实战篇</x:v>
      </x:c>
      <x:c r="C63" s="96" t="str">
        <x:v>跑 LoRA dry-run、加载 adapter、评估前后效果，并做技术取舍</x:v>
      </x:c>
      <x:c r="D63" s="90" t="str">
        <x:v>第62天</x:v>
      </x:c>
      <x:c r="E63" s="90" t="str">
        <x:v>灾难性遗忘与泛化</x:v>
      </x:c>
      <x:c r="F63" s="90" t="str">
        <x:v>评估集、反例集</x:v>
      </x:c>
      <x:c r="G63" s="90" t="str">
        <x:v>理解微调可能让模型变窄、变自信、泛化变差</x:v>
      </x:c>
      <x:c r="H63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3" s="90" t="str">
        <x:v>1、准备 10 条非训练分布问题
2、测试 base 与 adapter
3、找退化案例
4、分析是否过拟合
5、写风险清单</x:v>
      </x:c>
      <x:c r="J63" s="90" t="str">
        <x:v>能识别微调副作用</x:v>
      </x:c>
      <x:c r="K63" s="90" t="str">
        <x:v>notes/finetune_regression_risks.md</x:v>
      </x:c>
      <x:c r="L63" s="90" t="str">
        <x:v>未开始</x:v>
      </x:c>
      <x:c r="M63" s="90" t="str">
        <x:v>最小完成：写 5 条泛化测试。
标准完成：训练内/训练外/安全问题三类对比。
卡住检查：不要只看成功案例。
降级方案：用理论分析替代真实测试。</x:v>
      </x:c>
    </x:row>
    <x:row r="64" ht="142.5" customHeight="1">
      <x:c r="A64" s="72" t="str">
        <x:v>10. 微调认知 / 数据集 / 训练 / 评估</x:v>
      </x:c>
      <x:c r="B64" s="96" t="str">
        <x:v>实战篇</x:v>
      </x:c>
      <x:c r="C64" s="96" t="str">
        <x:v>跑 LoRA dry-run、加载 adapter、评估前后效果，并做技术取舍</x:v>
      </x:c>
      <x:c r="D64" s="90" t="str">
        <x:v>第63天</x:v>
      </x:c>
      <x:c r="E64" s="90" t="str">
        <x:v>安全与数据合规</x:v>
      </x:c>
      <x:c r="F64" s="90" t="str">
        <x:v>数据清单、隐私检查、许可协议</x:v>
      </x:c>
      <x:c r="G64" s="90" t="str">
        <x:v>理解微调会把数据模式写进模型权重，隐私和版权更敏感</x:v>
      </x:c>
      <x:c r="H64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4" s="90" t="str">
        <x:v>1、检查样本是否含个人信息
2、检查数据来源许可
3、写不可训练数据清单
4、设计脱敏规则
5、记录发布限制</x:v>
      </x:c>
      <x:c r="J64" s="90" t="str">
        <x:v>知道哪些数据不能拿来微调</x:v>
      </x:c>
      <x:c r="K64" s="90" t="str">
        <x:v>notes/finetune_data_safety.md</x:v>
      </x:c>
      <x:c r="L64" s="90" t="str">
        <x:v>未开始</x:v>
      </x:c>
      <x:c r="M64" s="90" t="str">
        <x:v>最小完成：列出不能训练的数据类型。
标准完成：为你的数据集写许可和脱敏说明。
卡住检查：聊天记录、客户数据、内部文档都要谨慎。
降级方案：只用自造样本实验。</x:v>
      </x:c>
    </x:row>
    <x:row r="65" ht="142.5" customHeight="1">
      <x:c r="A65" s="72" t="str">
        <x:v>10. 微调认知 / 数据集 / 训练 / 评估</x:v>
      </x:c>
      <x:c r="B65" s="96" t="str">
        <x:v>实战篇</x:v>
      </x:c>
      <x:c r="C65" s="96" t="str">
        <x:v>跑 LoRA dry-run、加载 adapter、评估前后效果，并做技术取舍</x:v>
      </x:c>
      <x:c r="D65" s="90" t="str">
        <x:v>第64天</x:v>
      </x:c>
      <x:c r="E65" s="90" t="str">
        <x:v>RAG vs 微调 vs Prompt</x:v>
      </x:c>
      <x:c r="F65" s="90" t="str">
        <x:v>前50天项目、微调评估结果</x:v>
      </x:c>
      <x:c r="G65" s="90" t="str">
        <x:v>建立技术选型判断，不为微调而微调</x:v>
      </x:c>
      <x:c r="H65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5" s="90" t="str">
        <x:v>1、列出 10 个需求
2、分别判断 Prompt/RAG/Tool/Memory/微调
3、写选择理由
4、估算成本和维护复杂度
5、形成决策表</x:v>
      </x:c>
      <x:c r="J65" s="90" t="str">
        <x:v>能做技术路线取舍</x:v>
      </x:c>
      <x:c r="K65" s="90" t="str">
        <x:v>notes/rag_vs_finetune_decision.md</x:v>
      </x:c>
      <x:c r="L65" s="90" t="str">
        <x:v>未开始</x:v>
      </x:c>
      <x:c r="M65" s="90" t="str">
        <x:v>最小完成：完成 5 个需求的决策。
标准完成：10 个需求，每个有理由和风险。
卡住检查：知识类问题优先 RAG，格式/风格类才考虑微调。
降级方案：先用两列表格：需求/推荐方案。</x:v>
      </x:c>
    </x:row>
    <x:row r="66" ht="142.5" customHeight="1">
      <x:c r="A66" s="72" t="str">
        <x:v>10. 微调认知 / 数据集 / 训练 / 评估</x:v>
      </x:c>
      <x:c r="B66" s="96" t="str">
        <x:v>实战篇</x:v>
      </x:c>
      <x:c r="C66" s="96" t="str">
        <x:v>跑 LoRA dry-run、加载 adapter、评估前后效果，并做技术取舍</x:v>
      </x:c>
      <x:c r="D66" s="90" t="str">
        <x:v>第65天</x:v>
      </x:c>
      <x:c r="E66" s="90" t="str">
        <x:v>何时用 API 微调 / 开源微调</x:v>
      </x:c>
      <x:c r="F66" s="90" t="str">
        <x:v>API fine-tuning 文档、开源训练框架</x:v>
      </x:c>
      <x:c r="G66" s="90" t="str">
        <x:v>理解 API 微调和开源微调的成本、隐私、部署差异</x:v>
      </x:c>
      <x:c r="H66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6" s="90" t="str">
        <x:v>1、比较 API 微调和开源 LoRA
2、写成本/数据/部署/维护维度
3、结合 deepseek-v4-flash 成本策略
4、判断个人自学优先级
5、写结论</x:v>
      </x:c>
      <x:c r="J66" s="90" t="str">
        <x:v>知道个人项目通常先选哪条路</x:v>
      </x:c>
      <x:c r="K66" s="90" t="str">
        <x:v>notes/api_vs_open_source_finetune.md</x:v>
      </x:c>
      <x:c r="L66" s="90" t="str">
        <x:v>未开始</x:v>
      </x:c>
      <x:c r="M66" s="90" t="str">
        <x:v>最小完成：写 API vs 开源 5 项对比。
标准完成：结合你的项目做决策。
卡住检查：不要忽略推理部署成本。
降级方案：只做文档调研。</x:v>
      </x:c>
    </x:row>
    <x:row r="67" ht="142.5" customHeight="1">
      <x:c r="A67" s="72" t="str">
        <x:v>11. 微调工程化 / 综合复盘</x:v>
      </x:c>
      <x:c r="B67" s="80" t="str">
        <x:v>理论基础篇</x:v>
      </x:c>
      <x:c r="C67" s="80" t="str">
        <x:v>记录模型/数据/实验版本，并理解推理部署成本</x:v>
      </x:c>
      <x:c r="D67" s="74" t="str">
        <x:v>第66天</x:v>
      </x:c>
      <x:c r="E67" s="74" t="str">
        <x:v>微调产物版本管理</x:v>
      </x:c>
      <x:c r="F67" s="74" t="str">
        <x:v>Git LFS 可选、模型卡、配置文件</x:v>
      </x:c>
      <x:c r="G67" s="74" t="str">
        <x:v>学习如何记录模型、数据、参数、评估，避免实验不可复现</x:v>
      </x:c>
      <x:c r="H67" s="74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67" s="74" t="str">
        <x:v>1、写 dataset card
2、写 model card 草稿
3、记录训练参数
4、记录评估结果
5、建立 experiments/ 目录</x:v>
      </x:c>
      <x:c r="J67" s="74" t="str">
        <x:v>微调实验可复现</x:v>
      </x:c>
      <x:c r="K67" s="74" t="str">
        <x:v>experiments/finetune_v1/README.md</x:v>
      </x:c>
      <x:c r="L67" s="74" t="str">
        <x:v>未开始</x:v>
      </x:c>
      <x:c r="M67" s="74" t="str">
        <x:v>最小完成：记录数据版本和训练参数。
标准完成：模型卡、数据卡、评估结果齐全。
卡住检查：未来的你能否复现实验？
降级方案：用 README 记录即可。</x:v>
      </x:c>
    </x:row>
    <x:row r="68" ht="142.5" customHeight="1">
      <x:c r="A68" s="72" t="str">
        <x:v>11. 微调工程化 / 综合复盘</x:v>
      </x:c>
      <x:c r="B68" s="80" t="str">
        <x:v>理论基础篇</x:v>
      </x:c>
      <x:c r="C68" s="80" t="str">
        <x:v>记录模型/数据/实验版本，并理解推理部署成本</x:v>
      </x:c>
      <x:c r="D68" s="74" t="str">
        <x:v>第67天</x:v>
      </x:c>
      <x:c r="E68" s="74" t="str">
        <x:v>服务化与推理成本</x:v>
      </x:c>
      <x:c r="F68" s="74" t="str">
        <x:v>推理脚本、部署选项、量化概念</x:v>
      </x:c>
      <x:c r="G68" s="74" t="str">
        <x:v>理解微调后还要部署，部署成本可能比训练更长期</x:v>
      </x:c>
      <x:c r="H68" s="74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8" s="74" t="str">
        <x:v>1、比较本地推理、云推理、API 托管
2、记录延迟/成本/维护难度
3、理解量化和吞吐
4、为你的项目选推理方式
5、写部署草图</x:v>
      </x:c>
      <x:c r="J68" s="74" t="str">
        <x:v>知道训练完如何实际使用</x:v>
      </x:c>
      <x:c r="K68" s="74" t="str">
        <x:v>notes/finetune_serving_plan.md</x:v>
      </x:c>
      <x:c r="L68" s="74" t="str">
        <x:v>未开始</x:v>
      </x:c>
      <x:c r="M68" s="74" t="str">
        <x:v>最小完成：列出 3 种部署方式优缺点。
标准完成：为你的项目写一页部署草图。
卡住检查：训练成功不代表能低成本上线。
降级方案：先不部署，只保留离线推理。</x:v>
      </x:c>
    </x:row>
    <x:row r="69" ht="142.5" customHeight="1">
      <x:c r="A69" s="72" t="str">
        <x:v>11. 微调工程化 / 综合复盘</x:v>
      </x:c>
      <x:c r="B69" s="88" t="str">
        <x:v>进阶篇</x:v>
      </x:c>
      <x:c r="C69" s="88" t="str">
        <x:v>把微调判断接入毕业项目，完成 PoC 或替代方案</x:v>
      </x:c>
      <x:c r="D69" s="82" t="str">
        <x:v>第68天</x:v>
      </x:c>
      <x:c r="E69" s="82" t="str">
        <x:v>把微调判断接入毕业项目</x:v>
      </x:c>
      <x:c r="F69" s="82" t="str">
        <x:v>前50天毕业项目、评估表</x:v>
      </x:c>
      <x:c r="G69" s="82" t="str">
        <x:v>决定毕业项目是否需要微调，并给出证据</x:v>
      </x:c>
      <x:c r="H69" s="82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69" s="82" t="str">
        <x:v>1、回看毕业项目失败样本
2、判断失败是知识缺失、工具缺失、格式不稳还是风格问题
3、选择 Prompt/RAG/Tool/Memory/微调方案
4、如果需要微调，定义数据需求
5、如果不需要，写明理由</x:v>
      </x:c>
      <x:c r="J69" s="82" t="str">
        <x:v>项目技术路线更清楚</x:v>
      </x:c>
      <x:c r="K69" s="82" t="str">
        <x:v>notes/project_finetune_decision.md</x:v>
      </x:c>
      <x:c r="L69" s="82" t="str">
        <x:v>未开始</x:v>
      </x:c>
      <x:c r="M69" s="82" t="str">
        <x:v>最小完成：写是否需要微调的结论。
标准完成：每类失败都有对应技术方案。
卡住检查：不要让微调替代工具调用或知识库。
降级方案：只分析 5 个失败样本。</x:v>
      </x:c>
    </x:row>
    <x:row r="70" ht="142.5" customHeight="1">
      <x:c r="A70" s="72" t="str">
        <x:v>11. 微调工程化 / 综合复盘</x:v>
      </x:c>
      <x:c r="B70" s="88" t="str">
        <x:v>进阶篇</x:v>
      </x:c>
      <x:c r="C70" s="88" t="str">
        <x:v>把微调判断接入毕业项目，完成 PoC 或替代方案</x:v>
      </x:c>
      <x:c r="D70" s="82" t="str">
        <x:v>第69天</x:v>
      </x:c>
      <x:c r="E70" s="82" t="str">
        <x:v>微调最小 PoC 或替代方案</x:v>
      </x:c>
      <x:c r="F70" s="82" t="str">
        <x:v>可选 GPU；也可选择不训练</x:v>
      </x:c>
      <x:c r="G70" s="82" t="str">
        <x:v>用证据完成一个 PoC：要么跑通最小微调，要么证明不该微调</x:v>
      </x:c>
      <x:c r="H70" s="82" t="str">
        <x:v>视频资源：
1、YouTube 搜索：Unsloth LoRA fine tuning tutorial：https://www.youtube.com/results?search_query=Unsloth+LoRA+fine+tuning+tutorial
2、B站搜索：Unsloth QLoRA 微调 教程：https://search.bilibili.com/all?keyword=Unsloth%20QLoRA%20%E5%BE%AE%E8%B0%83%20%E6%95%99%E7%A8%8B
3、YouTube 搜索：Hugging Face PEFT LoRA tutorial：https://www.youtube.com/results?search_query=Hugging+Face+PEFT+LoRA+tutorial
文档 / GitHub / 工具资源：
1、Unsloth：https://github.com/unslothai/unsloth
2、PEFT LoRA：https://huggingface.co/docs/peft/main/en/task_guides/lora_based_methods
3、TRL SFTTrainer：https://huggingface.co/docs/trl/sft_trainer
4、Axolotl：https://github.com/axolotl-ai-cloud/axolotl
资源对比说明：
本阶段建议优先云端小实验，不建议本地强行配大模型训练环境。</x:v>
      </x:c>
      <x:c r="I70" s="82" t="str">
        <x:v>1、选择 PoC 路线
2、若训练：跑小样本 adapter 并评估
3、若不训练：用 RAG/Prompt/Tool 改进失败样本
4、记录前后对比
5、写技术结论</x:v>
      </x:c>
      <x:c r="J70" s="82" t="str">
        <x:v>有一个可解释的高级篇结论</x:v>
      </x:c>
      <x:c r="K70" s="82" t="str">
        <x:v>poc/finetune_or_alternative_report.md</x:v>
      </x:c>
      <x:c r="L70" s="82" t="str">
        <x:v>未开始</x:v>
      </x:c>
      <x:c r="M70" s="82" t="str">
        <x:v>最小完成：完成“不训练也有理由”的报告。
标准完成：微调 PoC 或替代方案有前后对比。
卡住检查：PoC 目标是否太大。
降级方案：只做替代方案实验。</x:v>
      </x:c>
    </x:row>
    <x:row r="71" ht="142.5" customHeight="1">
      <x:c r="A71" s="72" t="str">
        <x:v>11. 微调工程化 / 综合复盘</x:v>
      </x:c>
      <x:c r="B71" s="96" t="str">
        <x:v>实战篇</x:v>
      </x:c>
      <x:c r="C71" s="96" t="str">
        <x:v>整理 70 天输出物，形成自己的技术地图</x:v>
      </x:c>
      <x:c r="D71" s="90" t="str">
        <x:v>第70天</x:v>
      </x:c>
      <x:c r="E71" s="90" t="str">
        <x:v>70天路线总复盘</x:v>
      </x:c>
      <x:c r="F71" s="90" t="str">
        <x:v>所有笔记、代码、评估表</x:v>
      </x:c>
      <x:c r="G71" s="90" t="str">
        <x:v>把 Agent 工程和微调高级篇整合成自己的技术地图</x:v>
      </x:c>
      <x:c r="H71" s="90" t="str">
        <x:v>视频资源：
1、YouTube 搜索：RAG vs Fine tuning：https://www.youtube.com/results?search_query=RAG+vs+fine+tuning
2、B站搜索：RAG 和 微调 区别：https://search.bilibili.com/all?keyword=RAG%20%E5%BE%AE%E8%B0%83%20%E5%8C%BA%E5%88%AB
3、YouTube 搜索：LLM evaluation fine tuned model：https://www.youtube.com/results?search_query=LLM+evaluation+fine+tuned+model
文档 / GitHub / 工具资源：
1、Hugging Face Evaluate：https://huggingface.co/docs/evaluate/index
2、lm-evaluation-harness：https://github.com/EleutherAI/lm-evaluation-harness
3、OpenAI Evals：https://github.com/openai/evals
4、Weights &amp; Biases LLM Evaluation：https://wandb.ai/site/solutions/llmops/
资源对比说明：
最后要学会判断：该用 Prompt、RAG、Tool、Memory，还是微调。</x:v>
      </x:c>
      <x:c r="I71" s="90" t="str">
        <x:v>1、整理 70 天输出物
2、写技术地图：Prompt/RAG/Tool/Memory/MCP/LangGraph/Dify/微调
3、列下一阶段 3 个项目方向
4、清理 README 和演示材料
5、写最终复盘</x:v>
      </x:c>
      <x:c r="J71" s="90" t="str">
        <x:v>形成个人 AI Agent + 微调学习闭环</x:v>
      </x:c>
      <x:c r="K71" s="90" t="str">
        <x:v>notes/70_day_final_review.md</x:v>
      </x:c>
      <x:c r="L71" s="90" t="str">
        <x:v>未开始</x:v>
      </x:c>
      <x:c r="M71" s="90" t="str">
        <x:v>最小完成：写 10 条关键收获。
标准完成：技术地图 + 下一阶段项目计划 + README 更新。
卡住检查：复盘不是流水账，要写“以后怎么选型”。
降级方案：只整理输出物清单。</x:v>
      </x:c>
    </x:row>
  </x:sheetData>
  <x:mergeCells>
    <x:mergeCell ref="A2:A4"/>
    <x:mergeCell ref="A5:A8"/>
    <x:mergeCell ref="B6:B7"/>
    <x:mergeCell ref="C6:C7"/>
    <x:mergeCell ref="A9:A11"/>
    <x:mergeCell ref="A12:A15"/>
    <x:mergeCell ref="B13:B14"/>
    <x:mergeCell ref="C13:C14"/>
    <x:mergeCell ref="A16:A18"/>
    <x:mergeCell ref="A19:A24"/>
    <x:mergeCell ref="B19:B20"/>
    <x:mergeCell ref="C19:C20"/>
    <x:mergeCell ref="B21:B23"/>
    <x:mergeCell ref="C21:C23"/>
    <x:mergeCell ref="A25:A29"/>
    <x:mergeCell ref="B26:B28"/>
    <x:mergeCell ref="C26:C28"/>
    <x:mergeCell ref="A30:A35"/>
    <x:mergeCell ref="B31:B34"/>
    <x:mergeCell ref="C31:C34"/>
    <x:mergeCell ref="A36:A38"/>
    <x:mergeCell ref="A39:A51"/>
    <x:mergeCell ref="B39:B42"/>
    <x:mergeCell ref="C39:C42"/>
    <x:mergeCell ref="B43:B44"/>
    <x:mergeCell ref="C43:C44"/>
    <x:mergeCell ref="B45:B51"/>
    <x:mergeCell ref="C45:C51"/>
    <x:mergeCell ref="A52:A66"/>
    <x:mergeCell ref="B52:B53"/>
    <x:mergeCell ref="C52:C53"/>
    <x:mergeCell ref="B54:B58"/>
    <x:mergeCell ref="C54:C58"/>
    <x:mergeCell ref="B59:B66"/>
    <x:mergeCell ref="C59:C66"/>
    <x:mergeCell ref="A67:A71"/>
    <x:mergeCell ref="B67:B68"/>
    <x:mergeCell ref="C67:C68"/>
    <x:mergeCell ref="B69:B70"/>
    <x:mergeCell ref="C69:C70"/>
  </x:mergeCells>
  <x:dataValidations count="1">
    <x:dataValidation errorStyle="warning" showErrorMessage="1" errorTitle="状态选项" error="请选择状态" sqref="L2:L71"/>
  </x:dataValidations>
  <x:pageMargins left="0.7" right="0.7" top="0.75" bottom="0.75" header="0.3" footer="0.3"/>
</x:worksheet>
</file>